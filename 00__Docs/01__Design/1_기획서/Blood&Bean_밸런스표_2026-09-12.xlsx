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개요" sheetId="1" state="visible" r:id="rId3"/>
    <sheet name="01_임대료·매출" sheetId="2" state="visible" r:id="rId4"/>
    <sheet name="02_메뉴" sheetId="3" state="visible" r:id="rId5"/>
    <sheet name="03_손님" sheetId="4" state="visible" r:id="rId6"/>
    <sheet name="04_박스등급" sheetId="5" state="visible" r:id="rId7"/>
    <sheet name="05_재료·보석" sheetId="6" state="visible" r:id="rId8"/>
    <sheet name="06_밤" sheetId="7" state="visible" r:id="rId9"/>
    <sheet name="07_스킬·보석" sheetId="8" state="visible" r:id="rId10"/>
    <sheet name="08_페널티·조작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<sst xmlns="http://schemas.openxmlformats.org/spreadsheetml/2006/main" count="504" uniqueCount="394">
  <si>
    <r>
      <rPr>
        <b val="true"/>
        <sz val="14"/>
        <color rgb="FF3D2B45"/>
        <rFont val="Arial"/>
        <family val="0"/>
        <charset val="1"/>
      </rPr>
      <t xml:space="preserve">BLOOD &amp; BEAN — </t>
    </r>
    <r>
      <rPr>
        <b val="true"/>
        <sz val="14"/>
        <color rgb="FF3D2B45"/>
        <rFont val="Noto Sans CJK SC"/>
        <family val="2"/>
      </rPr>
      <t xml:space="preserve">밸런스표</t>
    </r>
  </si>
  <si>
    <r>
      <rPr>
        <i val="true"/>
        <sz val="9"/>
        <color rgb="FF6B5E6D"/>
        <rFont val="Noto Sans CJK SC"/>
        <family val="2"/>
      </rPr>
      <t xml:space="preserve">기획서 </t>
    </r>
    <r>
      <rPr>
        <i val="true"/>
        <sz val="9"/>
        <color rgb="FF6B5E6D"/>
        <rFont val="Arial"/>
        <family val="0"/>
        <charset val="1"/>
      </rPr>
      <t xml:space="preserve">v5.3 </t>
    </r>
    <r>
      <rPr>
        <i val="true"/>
        <sz val="9"/>
        <color rgb="FF6B5E6D"/>
        <rFont val="Noto Sans CJK SC"/>
        <family val="2"/>
      </rPr>
      <t xml:space="preserve">기준 </t>
    </r>
    <r>
      <rPr>
        <i val="true"/>
        <sz val="9"/>
        <color rgb="FF6B5E6D"/>
        <rFont val="Arial"/>
        <family val="0"/>
        <charset val="1"/>
      </rPr>
      <t xml:space="preserve">· 2026-09-12 · </t>
    </r>
    <r>
      <rPr>
        <i val="true"/>
        <sz val="9"/>
        <color rgb="FF6B5E6D"/>
        <rFont val="Noto Sans CJK SC"/>
        <family val="2"/>
      </rPr>
      <t xml:space="preserve">이 표는 확정 사양이 아니라 근거다</t>
    </r>
    <r>
      <rPr>
        <i val="true"/>
        <sz val="9"/>
        <color rgb="FF6B5E6D"/>
        <rFont val="Arial"/>
        <family val="0"/>
        <charset val="1"/>
      </rPr>
      <t xml:space="preserve">. </t>
    </r>
    <r>
      <rPr>
        <i val="true"/>
        <sz val="9"/>
        <color rgb="FF6B5E6D"/>
        <rFont val="Noto Sans CJK SC"/>
        <family val="2"/>
      </rPr>
      <t xml:space="preserve">검증 빌드에서 앵커 둘을 실측한 뒤 다시 본다 </t>
    </r>
    <r>
      <rPr>
        <i val="true"/>
        <sz val="9"/>
        <color rgb="FF6B5E6D"/>
        <rFont val="Arial"/>
        <family val="0"/>
        <charset val="1"/>
      </rPr>
      <t xml:space="preserve">(</t>
    </r>
    <r>
      <rPr>
        <i val="true"/>
        <sz val="9"/>
        <color rgb="FF6B5E6D"/>
        <rFont val="Noto Sans CJK SC"/>
        <family val="2"/>
      </rPr>
      <t xml:space="preserve">기획서 </t>
    </r>
    <r>
      <rPr>
        <i val="true"/>
        <sz val="9"/>
        <color rgb="FF6B5E6D"/>
        <rFont val="Arial"/>
        <family val="0"/>
        <charset val="1"/>
      </rPr>
      <t xml:space="preserve">14.4)</t>
    </r>
  </si>
  <si>
    <t xml:space="preserve">항목</t>
  </si>
  <si>
    <t xml:space="preserve">값</t>
  </si>
  <si>
    <t xml:space="preserve">비고</t>
  </si>
  <si>
    <t xml:space="preserve">■ 앵커 — 이 둘이 나머지를 전부 정한다</t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</si>
  <si>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낮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분 팀 처리량</t>
    </r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</si>
  <si>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잔</t>
    </r>
  </si>
  <si>
    <r>
      <rPr>
        <sz val="10"/>
        <rFont val="Noto Sans CJK SC"/>
        <family val="2"/>
      </rPr>
      <t xml:space="preserve">정상 상태</t>
    </r>
    <r>
      <rPr>
        <sz val="10"/>
        <rFont val="Arial"/>
        <family val="0"/>
        <charset val="1"/>
      </rPr>
      <t xml:space="preserve">. 1</t>
    </r>
    <r>
      <rPr>
        <sz val="10"/>
        <rFont val="Noto Sans CJK SC"/>
        <family val="2"/>
      </rPr>
      <t xml:space="preserve">일차 </t>
    </r>
    <r>
      <rPr>
        <sz val="10"/>
        <rFont val="Arial"/>
        <family val="0"/>
        <charset val="1"/>
      </rPr>
      <t xml:space="preserve">5~6</t>
    </r>
    <r>
      <rPr>
        <sz val="10"/>
        <rFont val="Noto Sans CJK SC"/>
        <family val="2"/>
      </rPr>
      <t xml:space="preserve">잔 →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일차 </t>
    </r>
    <r>
      <rPr>
        <sz val="10"/>
        <rFont val="Arial"/>
        <family val="0"/>
        <charset val="1"/>
      </rPr>
      <t xml:space="preserve">12~13</t>
    </r>
    <r>
      <rPr>
        <sz val="10"/>
        <rFont val="Noto Sans CJK SC"/>
        <family val="2"/>
      </rPr>
      <t xml:space="preserve">잔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</si>
  <si>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밤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분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인 수확량</t>
    </r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</si>
  <si>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</si>
  <si>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무게 </t>
    </r>
    <r>
      <rPr>
        <sz val="10"/>
        <rFont val="Arial"/>
        <family val="0"/>
        <charset val="1"/>
      </rPr>
      <t xml:space="preserve">100%=10 </t>
    </r>
    <r>
      <rPr>
        <sz val="10"/>
        <rFont val="Noto Sans CJK SC"/>
        <family val="2"/>
      </rPr>
      <t xml:space="preserve">기준으로 </t>
    </r>
    <r>
      <rPr>
        <sz val="10"/>
        <rFont val="Arial"/>
        <family val="0"/>
        <charset val="1"/>
      </rPr>
      <t xml:space="preserve">80% </t>
    </r>
    <r>
      <rPr>
        <sz val="10"/>
        <rFont val="Noto Sans CJK SC"/>
        <family val="2"/>
      </rPr>
      <t xml:space="preserve">지점</t>
    </r>
  </si>
  <si>
    <t xml:space="preserve">제약</t>
  </si>
  <si>
    <r>
      <rPr>
        <sz val="10"/>
        <rFont val="Arial"/>
        <family val="0"/>
        <charset val="1"/>
      </rPr>
      <t xml:space="preserve">B × 2</t>
    </r>
    <r>
      <rPr>
        <sz val="10"/>
        <rFont val="Noto Sans CJK SC"/>
        <family val="2"/>
      </rPr>
      <t xml:space="preserve">인 ≥ </t>
    </r>
    <r>
      <rPr>
        <sz val="10"/>
        <rFont val="Arial"/>
        <family val="0"/>
        <charset val="1"/>
      </rPr>
      <t xml:space="preserve">A × 1.5</t>
    </r>
  </si>
  <si>
    <r>
      <rPr>
        <sz val="10"/>
        <rFont val="Noto Sans CJK SC"/>
        <family val="2"/>
      </rPr>
      <t xml:space="preserve">상비 재료만으로는 핫아메뿐이고 기본 메뉴는 주문의 </t>
    </r>
    <r>
      <rPr>
        <sz val="10"/>
        <rFont val="Arial"/>
        <family val="0"/>
        <charset val="1"/>
      </rPr>
      <t xml:space="preserve">20% </t>
    </r>
    <r>
      <rPr>
        <sz val="10"/>
        <rFont val="Noto Sans CJK SC"/>
        <family val="2"/>
      </rPr>
      <t xml:space="preserve">상한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기획서 </t>
    </r>
    <r>
      <rPr>
        <sz val="10"/>
        <rFont val="Arial"/>
        <family val="0"/>
        <charset val="1"/>
      </rPr>
      <t xml:space="preserve">5.5)</t>
    </r>
  </si>
  <si>
    <t xml:space="preserve">■ 고정 상수 — 튜닝 대상 아님</t>
  </si>
  <si>
    <t xml:space="preserve">페이즈</t>
  </si>
  <si>
    <r>
      <rPr>
        <sz val="10"/>
        <rFont val="Noto Sans CJK SC"/>
        <family val="2"/>
      </rPr>
      <t xml:space="preserve">밤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초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낮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초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전환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초</t>
    </r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</si>
  <si>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= 1,750</t>
    </r>
    <r>
      <rPr>
        <sz val="10"/>
        <rFont val="Noto Sans CJK SC"/>
        <family val="2"/>
      </rPr>
      <t xml:space="preserve">초 ≈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분</t>
    </r>
  </si>
  <si>
    <t xml:space="preserve">광장 설비</t>
  </si>
  <si>
    <r>
      <rPr>
        <sz val="10"/>
        <rFont val="Noto Sans CJK SC"/>
        <family val="2"/>
      </rPr>
      <t xml:space="preserve">커피 머신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개수대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대</t>
    </r>
  </si>
  <si>
    <r>
      <rPr>
        <sz val="10"/>
        <rFont val="Noto Sans CJK SC"/>
        <family val="2"/>
      </rPr>
      <t xml:space="preserve">오븐 대수는 미결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기획서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#4)</t>
    </r>
  </si>
  <si>
    <t xml:space="preserve">조리 시간</t>
  </si>
  <si>
    <r>
      <rPr>
        <sz val="10"/>
        <rFont val="Noto Sans CJK SC"/>
        <family val="2"/>
      </rPr>
      <t xml:space="preserve">커피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초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오븐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초</t>
    </r>
  </si>
  <si>
    <t xml:space="preserve">세척 시간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</si>
  <si>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초</t>
    </r>
  </si>
  <si>
    <t xml:space="preserve">광장↔카페</t>
  </si>
  <si>
    <r>
      <rPr>
        <sz val="10"/>
        <rFont val="Noto Sans CJK SC"/>
        <family val="2"/>
      </rPr>
      <t xml:space="preserve">편도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초</t>
    </r>
  </si>
  <si>
    <t xml:space="preserve">식기</t>
  </si>
  <si>
    <r>
      <rPr>
        <sz val="10"/>
        <rFont val="Noto Sans CJK SC"/>
        <family val="2"/>
      </rPr>
      <t xml:space="preserve">잔 </t>
    </r>
    <r>
      <rPr>
        <sz val="10"/>
        <rFont val="Arial"/>
        <family val="0"/>
        <charset val="1"/>
      </rPr>
      <t xml:space="preserve">2 + </t>
    </r>
    <r>
      <rPr>
        <sz val="10"/>
        <rFont val="Noto Sans CJK SC"/>
        <family val="2"/>
      </rPr>
      <t xml:space="preserve">접시 </t>
    </r>
    <r>
      <rPr>
        <sz val="10"/>
        <rFont val="Arial"/>
        <family val="0"/>
        <charset val="1"/>
      </rPr>
      <t xml:space="preserve">2 (</t>
    </r>
    <r>
      <rPr>
        <sz val="10"/>
        <rFont val="Noto Sans CJK SC"/>
        <family val="2"/>
      </rPr>
      <t xml:space="preserve">팀 보유</t>
    </r>
    <r>
      <rPr>
        <sz val="10"/>
        <rFont val="Arial"/>
        <family val="0"/>
        <charset val="1"/>
      </rPr>
      <t xml:space="preserve">)</t>
    </r>
  </si>
  <si>
    <t xml:space="preserve">한 사람이 드는 것은 하나뿐</t>
  </si>
  <si>
    <t xml:space="preserve">게이지 배수</t>
  </si>
  <si>
    <r>
      <rPr>
        <sz val="10"/>
        <rFont val="Arial"/>
        <family val="0"/>
        <charset val="1"/>
      </rPr>
      <t xml:space="preserve">Perfect 1.3 / Good 1.0 / Miss 0.7 / </t>
    </r>
    <r>
      <rPr>
        <sz val="10"/>
        <rFont val="Noto Sans CJK SC"/>
        <family val="2"/>
      </rPr>
      <t xml:space="preserve">탐 </t>
    </r>
    <r>
      <rPr>
        <sz val="10"/>
        <rFont val="Arial"/>
        <family val="0"/>
        <charset val="1"/>
      </rPr>
      <t xml:space="preserve">0.2</t>
    </r>
  </si>
  <si>
    <t xml:space="preserve">■ 남은 미결 셋</t>
  </si>
  <si>
    <r>
      <rPr>
        <b val="true"/>
        <sz val="10"/>
        <rFont val="Arial"/>
        <family val="0"/>
        <charset val="1"/>
      </rPr>
      <t xml:space="preserve">#1 </t>
    </r>
    <r>
      <rPr>
        <b val="true"/>
        <sz val="10"/>
        <rFont val="Noto Sans CJK SC"/>
        <family val="2"/>
      </rPr>
      <t xml:space="preserve">페이즈 길이와 일수</t>
    </r>
  </si>
  <si>
    <t xml:space="preserve">—</t>
  </si>
  <si>
    <r>
      <rPr>
        <sz val="10"/>
        <rFont val="Noto Sans CJK SC"/>
        <family val="2"/>
      </rPr>
      <t xml:space="preserve">맨 마지막</t>
    </r>
    <r>
      <rPr>
        <sz val="10"/>
        <rFont val="Arial"/>
        <family val="0"/>
        <charset val="1"/>
      </rPr>
      <t xml:space="preserve">. 1~7</t>
    </r>
    <r>
      <rPr>
        <sz val="10"/>
        <rFont val="Noto Sans CJK SC"/>
        <family val="2"/>
      </rPr>
      <t xml:space="preserve">이 다 맞고도 모자랄 때만 건드린다</t>
    </r>
  </si>
  <si>
    <r>
      <rPr>
        <b val="true"/>
        <sz val="10"/>
        <rFont val="Arial"/>
        <family val="0"/>
        <charset val="1"/>
      </rPr>
      <t xml:space="preserve">#4 </t>
    </r>
    <r>
      <rPr>
        <b val="true"/>
        <sz val="10"/>
        <rFont val="Noto Sans CJK SC"/>
        <family val="2"/>
      </rPr>
      <t xml:space="preserve">레이아웃 실치수</t>
    </r>
  </si>
  <si>
    <r>
      <rPr>
        <sz val="10"/>
        <rFont val="Noto Sans CJK SC"/>
        <family val="2"/>
      </rPr>
      <t xml:space="preserve">레벨 영역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광장↔카페 거리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통로 폭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오븐 대수</t>
    </r>
  </si>
  <si>
    <r>
      <rPr>
        <b val="true"/>
        <sz val="10"/>
        <rFont val="Arial"/>
        <family val="0"/>
        <charset val="1"/>
      </rPr>
      <t xml:space="preserve">#49 </t>
    </r>
    <r>
      <rPr>
        <b val="true"/>
        <sz val="10"/>
        <rFont val="Noto Sans CJK SC"/>
        <family val="2"/>
      </rPr>
      <t xml:space="preserve">게임패드 대응</t>
    </r>
  </si>
  <si>
    <t xml:space="preserve">프롬프트 키 표기 전환</t>
  </si>
  <si>
    <t xml:space="preserve">임대료와 예상 매출</t>
  </si>
  <si>
    <r>
      <rPr>
        <i val="true"/>
        <sz val="9"/>
        <color rgb="FF6B5E6D"/>
        <rFont val="Noto Sans CJK SC"/>
        <family val="2"/>
      </rPr>
      <t xml:space="preserve">매출은 낮 처리량 </t>
    </r>
    <r>
      <rPr>
        <i val="true"/>
        <sz val="9"/>
        <color rgb="FF6B5E6D"/>
        <rFont val="Arial"/>
        <family val="0"/>
        <charset val="1"/>
      </rPr>
      <t xml:space="preserve">10</t>
    </r>
    <r>
      <rPr>
        <i val="true"/>
        <sz val="9"/>
        <color rgb="FF6B5E6D"/>
        <rFont val="Noto Sans CJK SC"/>
        <family val="2"/>
      </rPr>
      <t xml:space="preserve">잔 모델에서 계산한 추정치다</t>
    </r>
    <r>
      <rPr>
        <i val="true"/>
        <sz val="9"/>
        <color rgb="FF6B5E6D"/>
        <rFont val="Arial"/>
        <family val="0"/>
        <charset val="1"/>
      </rPr>
      <t xml:space="preserve">. </t>
    </r>
    <r>
      <rPr>
        <i val="true"/>
        <sz val="9"/>
        <color rgb="FF6B5E6D"/>
        <rFont val="Noto Sans CJK SC"/>
        <family val="2"/>
      </rPr>
      <t xml:space="preserve">임대료만 확정 사양이다 </t>
    </r>
    <r>
      <rPr>
        <i val="true"/>
        <sz val="9"/>
        <color rgb="FF6B5E6D"/>
        <rFont val="Arial"/>
        <family val="0"/>
        <charset val="1"/>
      </rPr>
      <t xml:space="preserve">(</t>
    </r>
    <r>
      <rPr>
        <i val="true"/>
        <sz val="9"/>
        <color rgb="FF6B5E6D"/>
        <rFont val="Noto Sans CJK SC"/>
        <family val="2"/>
      </rPr>
      <t xml:space="preserve">기획서 </t>
    </r>
    <r>
      <rPr>
        <i val="true"/>
        <sz val="9"/>
        <color rgb="FF6B5E6D"/>
        <rFont val="Arial"/>
        <family val="0"/>
        <charset val="1"/>
      </rPr>
      <t xml:space="preserve">3.2)</t>
    </r>
  </si>
  <si>
    <t xml:space="preserve">일차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</si>
  <si>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</si>
  <si>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</si>
  <si>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</si>
  <si>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</si>
  <si>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</si>
  <si>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</si>
  <si>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</si>
  <si>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합계</t>
  </si>
  <si>
    <r>
      <rPr>
        <b val="true"/>
        <sz val="10"/>
        <rFont val="Noto Sans CJK SC"/>
        <family val="2"/>
      </rPr>
      <t xml:space="preserve">임대료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확정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</si>
  <si>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처리 잔 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</si>
  <si>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평균 기본가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</si>
  <si>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배수 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추정</t>
    </r>
    <r>
      <rPr>
        <sz val="10"/>
        <rFont val="Arial"/>
        <family val="0"/>
        <charset val="1"/>
      </rPr>
      <t xml:space="preserve">)</t>
    </r>
  </si>
  <si>
    <t xml:space="preserve">일반 매출</t>
  </si>
  <si>
    <r>
      <rPr>
        <b val="true"/>
        <sz val="10"/>
        <rFont val="Noto Sans CJK SC"/>
        <family val="2"/>
      </rPr>
      <t xml:space="preserve">달성률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블러드 빈 없이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</si>
  <si>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6B5E6D"/>
        <rFont val="Noto Sans CJK SC"/>
        <family val="2"/>
      </rPr>
      <t xml:space="preserve">블러드 빈 없이도 전 구간 임대료를 넘는다</t>
    </r>
    <r>
      <rPr>
        <i val="true"/>
        <sz val="9"/>
        <color rgb="FF6B5E6D"/>
        <rFont val="Arial"/>
        <family val="0"/>
        <charset val="1"/>
      </rPr>
      <t xml:space="preserve">. </t>
    </r>
    <r>
      <rPr>
        <i val="true"/>
        <sz val="9"/>
        <color rgb="FF6B5E6D"/>
        <rFont val="Noto Sans CJK SC"/>
        <family val="2"/>
      </rPr>
      <t xml:space="preserve">마진 </t>
    </r>
    <r>
      <rPr>
        <i val="true"/>
        <sz val="9"/>
        <color rgb="FF6B5E6D"/>
        <rFont val="Arial"/>
        <family val="0"/>
        <charset val="1"/>
      </rPr>
      <t xml:space="preserve">16~36%</t>
    </r>
    <r>
      <rPr>
        <i val="true"/>
        <sz val="9"/>
        <color rgb="FF6B5E6D"/>
        <rFont val="Noto Sans CJK SC"/>
        <family val="2"/>
      </rPr>
      <t xml:space="preserve">가 곧 순위 차이다</t>
    </r>
    <r>
      <rPr>
        <i val="true"/>
        <sz val="9"/>
        <color rgb="FF6B5E6D"/>
        <rFont val="Arial"/>
        <family val="0"/>
        <charset val="1"/>
      </rPr>
      <t xml:space="preserve">.</t>
    </r>
  </si>
  <si>
    <r>
      <rPr>
        <i val="true"/>
        <sz val="9"/>
        <color rgb="FF6B5E6D"/>
        <rFont val="Arial"/>
        <family val="0"/>
        <charset val="1"/>
      </rPr>
      <t xml:space="preserve">1</t>
    </r>
    <r>
      <rPr>
        <i val="true"/>
        <sz val="9"/>
        <color rgb="FF6B5E6D"/>
        <rFont val="Noto Sans CJK SC"/>
        <family val="2"/>
      </rPr>
      <t xml:space="preserve">일차는 풀이 </t>
    </r>
    <r>
      <rPr>
        <i val="true"/>
        <sz val="9"/>
        <color rgb="FF6B5E6D"/>
        <rFont val="Arial"/>
        <family val="0"/>
        <charset val="1"/>
      </rPr>
      <t xml:space="preserve">3</t>
    </r>
    <r>
      <rPr>
        <i val="true"/>
        <sz val="9"/>
        <color rgb="FF6B5E6D"/>
        <rFont val="Noto Sans CJK SC"/>
        <family val="2"/>
      </rPr>
      <t xml:space="preserve">종이라 아이스라떼</t>
    </r>
    <r>
      <rPr>
        <i val="true"/>
        <sz val="9"/>
        <color rgb="FF6B5E6D"/>
        <rFont val="Arial"/>
        <family val="0"/>
        <charset val="1"/>
      </rPr>
      <t xml:space="preserve">(24)</t>
    </r>
    <r>
      <rPr>
        <i val="true"/>
        <sz val="9"/>
        <color rgb="FF6B5E6D"/>
        <rFont val="Noto Sans CJK SC"/>
        <family val="2"/>
      </rPr>
      <t xml:space="preserve">가 이미 가능해 평균 기본가가 모델보다 높게 나온다</t>
    </r>
    <r>
      <rPr>
        <i val="true"/>
        <sz val="9"/>
        <color rgb="FF6B5E6D"/>
        <rFont val="Arial"/>
        <family val="0"/>
        <charset val="1"/>
      </rPr>
      <t xml:space="preserve">. </t>
    </r>
    <r>
      <rPr>
        <i val="true"/>
        <sz val="9"/>
        <color rgb="FF6B5E6D"/>
        <rFont val="Noto Sans CJK SC"/>
        <family val="2"/>
      </rPr>
      <t xml:space="preserve">대신 </t>
    </r>
    <r>
      <rPr>
        <i val="true"/>
        <sz val="9"/>
        <color rgb="FF6B5E6D"/>
        <rFont val="Arial"/>
        <family val="0"/>
        <charset val="1"/>
      </rPr>
      <t xml:space="preserve">Night 0(</t>
    </r>
    <r>
      <rPr>
        <i val="true"/>
        <sz val="9"/>
        <color rgb="FF6B5E6D"/>
        <rFont val="Noto Sans CJK SC"/>
        <family val="2"/>
      </rPr>
      <t xml:space="preserve">튜토리얼</t>
    </r>
    <r>
      <rPr>
        <i val="true"/>
        <sz val="9"/>
        <color rgb="FF6B5E6D"/>
        <rFont val="Arial"/>
        <family val="0"/>
        <charset val="1"/>
      </rPr>
      <t xml:space="preserve">)</t>
    </r>
    <r>
      <rPr>
        <i val="true"/>
        <sz val="9"/>
        <color rgb="FF6B5E6D"/>
        <rFont val="Noto Sans CJK SC"/>
        <family val="2"/>
      </rPr>
      <t xml:space="preserve">이라 실제 처리량이 </t>
    </r>
    <r>
      <rPr>
        <i val="true"/>
        <sz val="9"/>
        <color rgb="FF6B5E6D"/>
        <rFont val="Arial"/>
        <family val="0"/>
        <charset val="1"/>
      </rPr>
      <t xml:space="preserve">5~6</t>
    </r>
    <r>
      <rPr>
        <i val="true"/>
        <sz val="9"/>
        <color rgb="FF6B5E6D"/>
        <rFont val="Noto Sans CJK SC"/>
        <family val="2"/>
      </rPr>
      <t xml:space="preserve">잔으로 낮아 상쇄된다</t>
    </r>
    <r>
      <rPr>
        <i val="true"/>
        <sz val="9"/>
        <color rgb="FF6B5E6D"/>
        <rFont val="Arial"/>
        <family val="0"/>
        <charset val="1"/>
      </rPr>
      <t xml:space="preserve">.</t>
    </r>
  </si>
  <si>
    <r>
      <rPr>
        <i val="true"/>
        <sz val="9"/>
        <color rgb="FF6B5E6D"/>
        <rFont val="Noto Sans CJK SC"/>
        <family val="2"/>
      </rPr>
      <t xml:space="preserve">승리 지표는 누적 매출이지 임대료 완납이 아니다 </t>
    </r>
    <r>
      <rPr>
        <i val="true"/>
        <sz val="9"/>
        <color rgb="FF6B5E6D"/>
        <rFont val="Arial"/>
        <family val="0"/>
        <charset val="1"/>
      </rPr>
      <t xml:space="preserve">(</t>
    </r>
    <r>
      <rPr>
        <i val="true"/>
        <sz val="9"/>
        <color rgb="FF6B5E6D"/>
        <rFont val="Noto Sans CJK SC"/>
        <family val="2"/>
      </rPr>
      <t xml:space="preserve">기획서 </t>
    </r>
    <r>
      <rPr>
        <i val="true"/>
        <sz val="9"/>
        <color rgb="FF6B5E6D"/>
        <rFont val="Arial"/>
        <family val="0"/>
        <charset val="1"/>
      </rPr>
      <t xml:space="preserve">3.1). </t>
    </r>
    <r>
      <rPr>
        <i val="true"/>
        <sz val="9"/>
        <color rgb="FF6B5E6D"/>
        <rFont val="Noto Sans CJK SC"/>
        <family val="2"/>
      </rPr>
      <t xml:space="preserve">임대료는 압력 밸브다</t>
    </r>
    <r>
      <rPr>
        <i val="true"/>
        <sz val="9"/>
        <color rgb="FF6B5E6D"/>
        <rFont val="Arial"/>
        <family val="0"/>
        <charset val="1"/>
      </rPr>
      <t xml:space="preserve">.</t>
    </r>
  </si>
  <si>
    <r>
      <rPr>
        <b val="true"/>
        <sz val="14"/>
        <color rgb="FF3D2B45"/>
        <rFont val="Noto Sans CJK SC"/>
        <family val="2"/>
      </rPr>
      <t xml:space="preserve">메뉴 기본가 — 커피 </t>
    </r>
    <r>
      <rPr>
        <b val="true"/>
        <sz val="14"/>
        <color rgb="FF3D2B45"/>
        <rFont val="Arial"/>
        <family val="0"/>
        <charset val="1"/>
      </rPr>
      <t xml:space="preserve">7</t>
    </r>
    <r>
      <rPr>
        <b val="true"/>
        <sz val="14"/>
        <color rgb="FF3D2B45"/>
        <rFont val="Noto Sans CJK SC"/>
        <family val="2"/>
      </rPr>
      <t xml:space="preserve">종 </t>
    </r>
    <r>
      <rPr>
        <b val="true"/>
        <sz val="14"/>
        <color rgb="FF3D2B45"/>
        <rFont val="Arial"/>
        <family val="0"/>
        <charset val="1"/>
      </rPr>
      <t xml:space="preserve">+ </t>
    </r>
    <r>
      <rPr>
        <b val="true"/>
        <sz val="14"/>
        <color rgb="FF3D2B45"/>
        <rFont val="Noto Sans CJK SC"/>
        <family val="2"/>
      </rPr>
      <t xml:space="preserve">디저트 </t>
    </r>
    <r>
      <rPr>
        <b val="true"/>
        <sz val="14"/>
        <color rgb="FF3D2B45"/>
        <rFont val="Arial"/>
        <family val="0"/>
        <charset val="1"/>
      </rPr>
      <t xml:space="preserve">4</t>
    </r>
    <r>
      <rPr>
        <b val="true"/>
        <sz val="14"/>
        <color rgb="FF3D2B45"/>
        <rFont val="Noto Sans CJK SC"/>
        <family val="2"/>
      </rPr>
      <t xml:space="preserve">종</t>
    </r>
  </si>
  <si>
    <r>
      <rPr>
        <i val="true"/>
        <sz val="9"/>
        <color rgb="FF6B5E6D"/>
        <rFont val="Noto Sans CJK SC"/>
        <family val="2"/>
      </rPr>
      <t xml:space="preserve">기획서 </t>
    </r>
    <r>
      <rPr>
        <i val="true"/>
        <sz val="9"/>
        <color rgb="FF6B5E6D"/>
        <rFont val="Arial"/>
        <family val="0"/>
        <charset val="1"/>
      </rPr>
      <t xml:space="preserve">7.2 · </t>
    </r>
    <r>
      <rPr>
        <i val="true"/>
        <sz val="9"/>
        <color rgb="FF6B5E6D"/>
        <rFont val="Noto Sans CJK SC"/>
        <family val="2"/>
      </rPr>
      <t xml:space="preserve">스프레드 </t>
    </r>
    <r>
      <rPr>
        <i val="true"/>
        <sz val="9"/>
        <color rgb="FF6B5E6D"/>
        <rFont val="Arial"/>
        <family val="0"/>
        <charset val="1"/>
      </rPr>
      <t xml:space="preserve">5 → 38 (7.6</t>
    </r>
    <r>
      <rPr>
        <i val="true"/>
        <sz val="9"/>
        <color rgb="FF6B5E6D"/>
        <rFont val="Noto Sans CJK SC"/>
        <family val="2"/>
      </rPr>
      <t xml:space="preserve">배</t>
    </r>
    <r>
      <rPr>
        <i val="true"/>
        <sz val="9"/>
        <color rgb="FF6B5E6D"/>
        <rFont val="Arial"/>
        <family val="0"/>
        <charset val="1"/>
      </rPr>
      <t xml:space="preserve">). </t>
    </r>
    <r>
      <rPr>
        <i val="true"/>
        <sz val="9"/>
        <color rgb="FF6B5E6D"/>
        <rFont val="Noto Sans CJK SC"/>
        <family val="2"/>
      </rPr>
      <t xml:space="preserve">저가는 그대로 두고 고가만 올렸다</t>
    </r>
  </si>
  <si>
    <t xml:space="preserve">구분</t>
  </si>
  <si>
    <t xml:space="preserve">메뉴</t>
  </si>
  <si>
    <t xml:space="preserve">재료</t>
  </si>
  <si>
    <t xml:space="preserve">수집 재료 수</t>
  </si>
  <si>
    <t xml:space="preserve">기본가</t>
  </si>
  <si>
    <t xml:space="preserve">커피</t>
  </si>
  <si>
    <t xml:space="preserve">핫 아메리카노</t>
  </si>
  <si>
    <t xml:space="preserve">원두</t>
  </si>
  <si>
    <r>
      <rPr>
        <sz val="10"/>
        <rFont val="Noto Sans CJK SC"/>
        <family val="2"/>
      </rPr>
      <t xml:space="preserve">기본 메뉴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주문의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를 넘지 않는다</t>
    </r>
  </si>
  <si>
    <t xml:space="preserve">아이스 아메리카노</t>
  </si>
  <si>
    <r>
      <rPr>
        <sz val="10"/>
        <rFont val="Noto Sans CJK SC"/>
        <family val="2"/>
      </rPr>
      <t xml:space="preserve">원두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얼음</t>
    </r>
  </si>
  <si>
    <t xml:space="preserve">카페라떼</t>
  </si>
  <si>
    <r>
      <rPr>
        <sz val="10"/>
        <rFont val="Noto Sans CJK SC"/>
        <family val="2"/>
      </rPr>
      <t xml:space="preserve">원두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우유</t>
    </r>
  </si>
  <si>
    <t xml:space="preserve">아인슈페너</t>
  </si>
  <si>
    <r>
      <rPr>
        <sz val="10"/>
        <rFont val="Noto Sans CJK SC"/>
        <family val="2"/>
      </rPr>
      <t xml:space="preserve">원두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크림</t>
    </r>
  </si>
  <si>
    <t xml:space="preserve">아이스라떼</t>
  </si>
  <si>
    <r>
      <rPr>
        <sz val="10"/>
        <rFont val="Noto Sans CJK SC"/>
        <family val="2"/>
      </rPr>
      <t xml:space="preserve">원두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우유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얼음</t>
    </r>
  </si>
  <si>
    <t xml:space="preserve">카페모카</t>
  </si>
  <si>
    <r>
      <rPr>
        <sz val="10"/>
        <rFont val="Noto Sans CJK SC"/>
        <family val="2"/>
      </rPr>
      <t xml:space="preserve">원두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우유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초콜렛</t>
    </r>
  </si>
  <si>
    <r>
      <rPr>
        <sz val="10"/>
        <rFont val="Noto Sans CJK SC"/>
        <family val="2"/>
      </rPr>
      <t xml:space="preserve">초콜렛은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일차부터</t>
    </r>
  </si>
  <si>
    <t xml:space="preserve">아이스모카</t>
  </si>
  <si>
    <r>
      <rPr>
        <sz val="10"/>
        <rFont val="Noto Sans CJK SC"/>
        <family val="2"/>
      </rPr>
      <t xml:space="preserve">원두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우유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초콜렛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얼음</t>
    </r>
  </si>
  <si>
    <r>
      <rPr>
        <sz val="10"/>
        <rFont val="Arial"/>
        <family val="0"/>
        <charset val="1"/>
      </rPr>
      <t xml:space="preserve">v5.3 </t>
    </r>
    <r>
      <rPr>
        <sz val="10"/>
        <rFont val="Noto Sans CJK SC"/>
        <family val="2"/>
      </rPr>
      <t xml:space="preserve">신설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인기 재료 천장 </t>
    </r>
    <r>
      <rPr>
        <sz val="10"/>
        <rFont val="Arial"/>
        <family val="0"/>
        <charset val="1"/>
      </rPr>
      <t xml:space="preserve">×1.9</t>
    </r>
    <r>
      <rPr>
        <sz val="10"/>
        <rFont val="Noto Sans CJK SC"/>
        <family val="2"/>
      </rPr>
      <t xml:space="preserve">를 만드는 유일한 메뉴</t>
    </r>
  </si>
  <si>
    <t xml:space="preserve">디저트</t>
  </si>
  <si>
    <t xml:space="preserve">아몬드 쿠키</t>
  </si>
  <si>
    <r>
      <rPr>
        <sz val="10"/>
        <rFont val="Noto Sans CJK SC"/>
        <family val="2"/>
      </rPr>
      <t xml:space="preserve">빵 베이스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아몬드</t>
    </r>
  </si>
  <si>
    <r>
      <rPr>
        <sz val="10"/>
        <rFont val="Noto Sans CJK SC"/>
        <family val="2"/>
      </rPr>
      <t xml:space="preserve">오븐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초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커피의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배</t>
    </r>
  </si>
  <si>
    <t xml:space="preserve">초코 브라우니</t>
  </si>
  <si>
    <r>
      <rPr>
        <sz val="10"/>
        <rFont val="Noto Sans CJK SC"/>
        <family val="2"/>
      </rPr>
      <t xml:space="preserve">빵 베이스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초콜렛</t>
    </r>
  </si>
  <si>
    <t xml:space="preserve">크림 케이크</t>
  </si>
  <si>
    <r>
      <rPr>
        <sz val="10"/>
        <rFont val="Noto Sans CJK SC"/>
        <family val="2"/>
      </rPr>
      <t xml:space="preserve">빵 베이스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크림</t>
    </r>
  </si>
  <si>
    <t xml:space="preserve">베리 타르트</t>
  </si>
  <si>
    <r>
      <rPr>
        <sz val="10"/>
        <rFont val="Noto Sans CJK SC"/>
        <family val="2"/>
      </rPr>
      <t xml:space="preserve">빵 베이스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베리</t>
    </r>
  </si>
  <si>
    <r>
      <rPr>
        <sz val="10"/>
        <rFont val="Noto Sans CJK SC"/>
        <family val="2"/>
      </rPr>
      <t xml:space="preserve">베리는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일차부터</t>
    </r>
  </si>
  <si>
    <r>
      <rPr>
        <b val="true"/>
        <sz val="10"/>
        <color rgb="FF3D2B45"/>
        <rFont val="Noto Sans CJK SC"/>
        <family val="2"/>
      </rPr>
      <t xml:space="preserve">최종 판매가 </t>
    </r>
    <r>
      <rPr>
        <b val="true"/>
        <sz val="10"/>
        <color rgb="FF3D2B45"/>
        <rFont val="Arial"/>
        <family val="0"/>
        <charset val="1"/>
      </rPr>
      <t xml:space="preserve">= </t>
    </r>
    <r>
      <rPr>
        <b val="true"/>
        <sz val="10"/>
        <color rgb="FF3D2B45"/>
        <rFont val="Noto Sans CJK SC"/>
        <family val="2"/>
      </rPr>
      <t xml:space="preserve">기본가 </t>
    </r>
    <r>
      <rPr>
        <b val="true"/>
        <sz val="10"/>
        <color rgb="FF3D2B45"/>
        <rFont val="Arial"/>
        <family val="0"/>
        <charset val="1"/>
      </rPr>
      <t xml:space="preserve">× </t>
    </r>
    <r>
      <rPr>
        <b val="true"/>
        <sz val="10"/>
        <color rgb="FF3D2B45"/>
        <rFont val="Noto Sans CJK SC"/>
        <family val="2"/>
      </rPr>
      <t xml:space="preserve">게이지 배수 </t>
    </r>
    <r>
      <rPr>
        <b val="true"/>
        <sz val="10"/>
        <color rgb="FF3D2B45"/>
        <rFont val="Arial"/>
        <family val="0"/>
        <charset val="1"/>
      </rPr>
      <t xml:space="preserve">× </t>
    </r>
    <r>
      <rPr>
        <b val="true"/>
        <sz val="10"/>
        <color rgb="FF3D2B45"/>
        <rFont val="Noto Sans CJK SC"/>
        <family val="2"/>
      </rPr>
      <t xml:space="preserve">원두 등급 배수 </t>
    </r>
    <r>
      <rPr>
        <b val="true"/>
        <sz val="10"/>
        <color rgb="FF3D2B45"/>
        <rFont val="Arial"/>
        <family val="0"/>
        <charset val="1"/>
      </rPr>
      <t xml:space="preserve">× (1 + </t>
    </r>
    <r>
      <rPr>
        <b val="true"/>
        <sz val="10"/>
        <color rgb="FF3D2B45"/>
        <rFont val="Noto Sans CJK SC"/>
        <family val="2"/>
      </rPr>
      <t xml:space="preserve">인기 재료 합</t>
    </r>
    <r>
      <rPr>
        <b val="true"/>
        <sz val="10"/>
        <color rgb="FF3D2B45"/>
        <rFont val="Arial"/>
        <family val="0"/>
        <charset val="1"/>
      </rPr>
      <t xml:space="preserve">) × </t>
    </r>
    <r>
      <rPr>
        <b val="true"/>
        <sz val="10"/>
        <color rgb="FF3D2B45"/>
        <rFont val="Noto Sans CJK SC"/>
        <family val="2"/>
      </rPr>
      <t xml:space="preserve">종족 배수</t>
    </r>
  </si>
  <si>
    <r>
      <rPr>
        <i val="true"/>
        <sz val="9"/>
        <color rgb="FF6B5E6D"/>
        <rFont val="Noto Sans CJK SC"/>
        <family val="2"/>
      </rPr>
      <t xml:space="preserve">검산 — </t>
    </r>
    <r>
      <rPr>
        <i val="true"/>
        <sz val="9"/>
        <color rgb="FF6B5E6D"/>
        <rFont val="Arial"/>
        <family val="0"/>
        <charset val="1"/>
      </rPr>
      <t xml:space="preserve">7</t>
    </r>
    <r>
      <rPr>
        <i val="true"/>
        <sz val="9"/>
        <color rgb="FF6B5E6D"/>
        <rFont val="Noto Sans CJK SC"/>
        <family val="2"/>
      </rPr>
      <t xml:space="preserve">일차 최고가 한 잔</t>
    </r>
    <r>
      <rPr>
        <i val="true"/>
        <sz val="9"/>
        <color rgb="FF6B5E6D"/>
        <rFont val="Arial"/>
        <family val="0"/>
        <charset val="1"/>
      </rPr>
      <t xml:space="preserve">: </t>
    </r>
    <r>
      <rPr>
        <i val="true"/>
        <sz val="9"/>
        <color rgb="FF6B5E6D"/>
        <rFont val="Noto Sans CJK SC"/>
        <family val="2"/>
      </rPr>
      <t xml:space="preserve">아이스모카 </t>
    </r>
    <r>
      <rPr>
        <i val="true"/>
        <sz val="9"/>
        <color rgb="FF6B5E6D"/>
        <rFont val="Arial"/>
        <family val="0"/>
        <charset val="1"/>
      </rPr>
      <t xml:space="preserve">38 × Perfect 1.3 × </t>
    </r>
    <r>
      <rPr>
        <i val="true"/>
        <sz val="9"/>
        <color rgb="FF6B5E6D"/>
        <rFont val="Noto Sans CJK SC"/>
        <family val="2"/>
      </rPr>
      <t xml:space="preserve">인기 재료 </t>
    </r>
    <r>
      <rPr>
        <i val="true"/>
        <sz val="9"/>
        <color rgb="FF6B5E6D"/>
        <rFont val="Arial"/>
        <family val="0"/>
        <charset val="1"/>
      </rPr>
      <t xml:space="preserve">3</t>
    </r>
    <r>
      <rPr>
        <i val="true"/>
        <sz val="9"/>
        <color rgb="FF6B5E6D"/>
        <rFont val="Noto Sans CJK SC"/>
        <family val="2"/>
      </rPr>
      <t xml:space="preserve">개 </t>
    </r>
    <r>
      <rPr>
        <i val="true"/>
        <sz val="9"/>
        <color rgb="FF6B5E6D"/>
        <rFont val="Arial"/>
        <family val="0"/>
        <charset val="1"/>
      </rPr>
      <t xml:space="preserve">1.9 × </t>
    </r>
    <r>
      <rPr>
        <i val="true"/>
        <sz val="9"/>
        <color rgb="FF6B5E6D"/>
        <rFont val="Noto Sans CJK SC"/>
        <family val="2"/>
      </rPr>
      <t xml:space="preserve">마녀 </t>
    </r>
    <r>
      <rPr>
        <i val="true"/>
        <sz val="9"/>
        <color rgb="FF6B5E6D"/>
        <rFont val="Arial"/>
        <family val="0"/>
        <charset val="1"/>
      </rPr>
      <t xml:space="preserve">1.45 = 136</t>
    </r>
  </si>
  <si>
    <r>
      <rPr>
        <i val="true"/>
        <sz val="9"/>
        <color rgb="FF6B5E6D"/>
        <rFont val="Arial"/>
        <family val="0"/>
        <charset val="1"/>
      </rPr>
      <t xml:space="preserve">              + </t>
    </r>
    <r>
      <rPr>
        <i val="true"/>
        <sz val="9"/>
        <color rgb="FF6B5E6D"/>
        <rFont val="Noto Sans CJK SC"/>
        <family val="2"/>
      </rPr>
      <t xml:space="preserve">블러드 빈 </t>
    </r>
    <r>
      <rPr>
        <i val="true"/>
        <sz val="9"/>
        <color rgb="FF6B5E6D"/>
        <rFont val="Arial"/>
        <family val="0"/>
        <charset val="1"/>
      </rPr>
      <t xml:space="preserve">×3 = 408 → 7</t>
    </r>
    <r>
      <rPr>
        <i val="true"/>
        <sz val="9"/>
        <color rgb="FF6B5E6D"/>
        <rFont val="Noto Sans CJK SC"/>
        <family val="2"/>
      </rPr>
      <t xml:space="preserve">일차 임대료 </t>
    </r>
    <r>
      <rPr>
        <i val="true"/>
        <sz val="9"/>
        <color rgb="FF6B5E6D"/>
        <rFont val="Arial"/>
        <family val="0"/>
        <charset val="1"/>
      </rPr>
      <t xml:space="preserve">480</t>
    </r>
    <r>
      <rPr>
        <i val="true"/>
        <sz val="9"/>
        <color rgb="FF6B5E6D"/>
        <rFont val="Noto Sans CJK SC"/>
        <family val="2"/>
      </rPr>
      <t xml:space="preserve">의 </t>
    </r>
    <r>
      <rPr>
        <i val="true"/>
        <sz val="9"/>
        <color rgb="FF6B5E6D"/>
        <rFont val="Arial"/>
        <family val="0"/>
        <charset val="1"/>
      </rPr>
      <t xml:space="preserve">85%</t>
    </r>
    <r>
      <rPr>
        <i val="true"/>
        <sz val="9"/>
        <color rgb="FF6B5E6D"/>
        <rFont val="Noto Sans CJK SC"/>
        <family val="2"/>
      </rPr>
      <t xml:space="preserve">를 한 잔이 낸다</t>
    </r>
  </si>
  <si>
    <r>
      <rPr>
        <b val="true"/>
        <sz val="14"/>
        <color rgb="FF3D2B45"/>
        <rFont val="Noto Sans CJK SC"/>
        <family val="2"/>
      </rPr>
      <t xml:space="preserve">손님 — 종족 </t>
    </r>
    <r>
      <rPr>
        <b val="true"/>
        <sz val="14"/>
        <color rgb="FF3D2B45"/>
        <rFont val="Arial"/>
        <family val="0"/>
        <charset val="1"/>
      </rPr>
      <t xml:space="preserve">· </t>
    </r>
    <r>
      <rPr>
        <b val="true"/>
        <sz val="14"/>
        <color rgb="FF3D2B45"/>
        <rFont val="Noto Sans CJK SC"/>
        <family val="2"/>
      </rPr>
      <t xml:space="preserve">대기 </t>
    </r>
    <r>
      <rPr>
        <b val="true"/>
        <sz val="14"/>
        <color rgb="FF3D2B45"/>
        <rFont val="Arial"/>
        <family val="0"/>
        <charset val="1"/>
      </rPr>
      <t xml:space="preserve">· </t>
    </r>
    <r>
      <rPr>
        <b val="true"/>
        <sz val="14"/>
        <color rgb="FF3D2B45"/>
        <rFont val="Noto Sans CJK SC"/>
        <family val="2"/>
      </rPr>
      <t xml:space="preserve">인내심</t>
    </r>
  </si>
  <si>
    <r>
      <rPr>
        <i val="true"/>
        <sz val="9"/>
        <color rgb="FF6B5E6D"/>
        <rFont val="Noto Sans CJK SC"/>
        <family val="2"/>
      </rPr>
      <t xml:space="preserve">기획서 </t>
    </r>
    <r>
      <rPr>
        <i val="true"/>
        <sz val="9"/>
        <color rgb="FF6B5E6D"/>
        <rFont val="Arial"/>
        <family val="0"/>
        <charset val="1"/>
      </rPr>
      <t xml:space="preserve">5.5 · 5.3 · 5.7.2</t>
    </r>
  </si>
  <si>
    <t xml:space="preserve">종족</t>
  </si>
  <si>
    <t xml:space="preserve">선호</t>
  </si>
  <si>
    <t xml:space="preserve">판매가 배수</t>
  </si>
  <si>
    <r>
      <rPr>
        <b val="true"/>
        <sz val="10"/>
        <color rgb="FFFFFFFF"/>
        <rFont val="Noto Sans CJK SC"/>
        <family val="2"/>
      </rPr>
      <t xml:space="preserve">인내심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</si>
  <si>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등장 분포</t>
  </si>
  <si>
    <t xml:space="preserve">좀비</t>
  </si>
  <si>
    <t xml:space="preserve">아무거나</t>
  </si>
  <si>
    <t xml:space="preserve">가장 싸고 가장 오래 기다린다</t>
  </si>
  <si>
    <t xml:space="preserve">유령</t>
  </si>
  <si>
    <r>
      <rPr>
        <sz val="10"/>
        <rFont val="Arial"/>
        <family val="0"/>
        <charset val="1"/>
      </rPr>
      <t xml:space="preserve">Temp.Cold </t>
    </r>
    <r>
      <rPr>
        <sz val="10"/>
        <rFont val="Noto Sans CJK SC"/>
        <family val="2"/>
      </rPr>
      <t xml:space="preserve">전용</t>
    </r>
  </si>
  <si>
    <t xml:space="preserve">해골</t>
  </si>
  <si>
    <r>
      <rPr>
        <sz val="10"/>
        <rFont val="Arial"/>
        <family val="0"/>
        <charset val="1"/>
      </rPr>
      <t xml:space="preserve">Temp.Hot </t>
    </r>
    <r>
      <rPr>
        <sz val="10"/>
        <rFont val="Noto Sans CJK SC"/>
        <family val="2"/>
      </rPr>
      <t xml:space="preserve">전용</t>
    </r>
  </si>
  <si>
    <t xml:space="preserve">늑대인간</t>
  </si>
  <si>
    <r>
      <rPr>
        <sz val="10"/>
        <rFont val="Noto Sans CJK SC"/>
        <family val="2"/>
      </rPr>
      <t xml:space="preserve">무관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한 번에 </t>
    </r>
    <r>
      <rPr>
        <sz val="10"/>
        <rFont val="Arial"/>
        <family val="0"/>
        <charset val="1"/>
      </rPr>
      <t xml:space="preserve">2~3</t>
    </r>
    <r>
      <rPr>
        <sz val="10"/>
        <rFont val="Noto Sans CJK SC"/>
        <family val="2"/>
      </rPr>
      <t xml:space="preserve">개</t>
    </r>
  </si>
  <si>
    <t xml:space="preserve">실제 필요 잔 수를 밀어 올려 비중을 낮췄다</t>
  </si>
  <si>
    <t xml:space="preserve">뱀파이어</t>
  </si>
  <si>
    <r>
      <rPr>
        <sz val="10"/>
        <rFont val="Noto Sans CJK SC"/>
        <family val="2"/>
      </rPr>
      <t xml:space="preserve">붉은 것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베리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블러드 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</si>
  <si>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한 잔 만드는 시간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두 배가 조금 넘는다</t>
    </r>
  </si>
  <si>
    <t xml:space="preserve">마녀</t>
  </si>
  <si>
    <r>
      <rPr>
        <sz val="10"/>
        <rFont val="Noto Sans CJK SC"/>
        <family val="2"/>
      </rPr>
      <t xml:space="preserve">재료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개짜리 조합</t>
    </r>
  </si>
  <si>
    <t xml:space="preserve">가장 비싸다</t>
  </si>
  <si>
    <t xml:space="preserve">가중 평균</t>
  </si>
  <si>
    <t xml:space="preserve">■ 대기와 처리</t>
  </si>
  <si>
    <t xml:space="preserve">대기 슬롯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</si>
  <si>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 고정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하나가 비면 다음 손님이 즉시 들어온다</t>
    </r>
  </si>
  <si>
    <t xml:space="preserve">첫 진입</t>
  </si>
  <si>
    <r>
      <rPr>
        <sz val="10"/>
        <rFont val="Noto Sans CJK SC"/>
        <family val="2"/>
      </rPr>
      <t xml:space="preserve">낮 시작 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초 간격으로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명</t>
    </r>
  </si>
  <si>
    <t xml:space="preserve">이후 스폰</t>
  </si>
  <si>
    <r>
      <rPr>
        <sz val="10"/>
        <rFont val="Noto Sans CJK SC"/>
        <family val="2"/>
      </rPr>
      <t xml:space="preserve">자리가 비는 즉시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간격을 따로 두지 않는다</t>
    </r>
  </si>
  <si>
    <t xml:space="preserve">처리 순서</t>
  </si>
  <si>
    <r>
      <rPr>
        <sz val="10"/>
        <rFont val="Noto Sans CJK SC"/>
        <family val="2"/>
      </rPr>
      <t xml:space="preserve">넷 중 아무나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대기열 순서라는 개념이 없다</t>
    </r>
  </si>
  <si>
    <t xml:space="preserve">하루 주문 수</t>
  </si>
  <si>
    <r>
      <rPr>
        <sz val="10"/>
        <rFont val="Noto Sans CJK SC"/>
        <family val="2"/>
      </rPr>
      <t xml:space="preserve">상한이 아니다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처리량이 곧 상한이며 예상치는 </t>
    </r>
    <r>
      <rPr>
        <sz val="10"/>
        <rFont val="Arial"/>
        <family val="0"/>
        <charset val="1"/>
      </rPr>
      <t xml:space="preserve">10~12</t>
    </r>
    <r>
      <rPr>
        <sz val="10"/>
        <rFont val="Noto Sans CJK SC"/>
        <family val="2"/>
      </rPr>
      <t xml:space="preserve">건</t>
    </r>
  </si>
  <si>
    <t xml:space="preserve">말풍선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</si>
  <si>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명 전부 펼침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예상 판매가 표시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기획서 </t>
    </r>
    <r>
      <rPr>
        <sz val="10"/>
        <rFont val="Arial"/>
        <family val="0"/>
        <charset val="1"/>
      </rPr>
      <t xml:space="preserve">5.7.2)</t>
    </r>
  </si>
  <si>
    <t xml:space="preserve">■ 인내심 증감</t>
  </si>
  <si>
    <r>
      <rPr>
        <b val="true"/>
        <sz val="10"/>
        <rFont val="Arial"/>
        <family val="0"/>
        <charset val="1"/>
      </rPr>
      <t xml:space="preserve">Perfect </t>
    </r>
    <r>
      <rPr>
        <b val="true"/>
        <sz val="10"/>
        <rFont val="Noto Sans CJK SC"/>
        <family val="2"/>
      </rPr>
      <t xml:space="preserve">회복</t>
    </r>
  </si>
  <si>
    <r>
      <rPr>
        <sz val="10"/>
        <rFont val="Noto Sans CJK SC"/>
        <family val="2"/>
      </rPr>
      <t xml:space="preserve">그 손님 최대 인내심의 </t>
    </r>
    <r>
      <rPr>
        <sz val="10"/>
        <rFont val="Arial"/>
        <family val="0"/>
        <charset val="1"/>
      </rPr>
      <t xml:space="preserve">+15%</t>
    </r>
  </si>
  <si>
    <t xml:space="preserve">오배송 감소</t>
  </si>
  <si>
    <r>
      <rPr>
        <sz val="10"/>
        <rFont val="Noto Sans CJK SC"/>
        <family val="2"/>
      </rPr>
      <t xml:space="preserve">대기 중 나머지 전원 </t>
    </r>
    <r>
      <rPr>
        <sz val="10"/>
        <rFont val="Arial"/>
        <family val="0"/>
        <charset val="1"/>
      </rPr>
      <t xml:space="preserve">-20%</t>
    </r>
  </si>
  <si>
    <t xml:space="preserve">보석 「찻잎」</t>
  </si>
  <si>
    <t xml:space="preserve">+20%</t>
  </si>
  <si>
    <t xml:space="preserve">링 경계</t>
  </si>
  <si>
    <r>
      <rPr>
        <sz val="10"/>
        <rFont val="Noto Sans CJK SC"/>
        <family val="2"/>
      </rPr>
      <t xml:space="preserve">여유 </t>
    </r>
    <r>
      <rPr>
        <sz val="10"/>
        <rFont val="Arial"/>
        <family val="0"/>
        <charset val="1"/>
      </rPr>
      <t xml:space="preserve">100~50% / </t>
    </r>
    <r>
      <rPr>
        <sz val="10"/>
        <rFont val="Noto Sans CJK SC"/>
        <family val="2"/>
      </rPr>
      <t xml:space="preserve">촉박 </t>
    </r>
    <r>
      <rPr>
        <sz val="10"/>
        <rFont val="Arial"/>
        <family val="0"/>
        <charset val="1"/>
      </rPr>
      <t xml:space="preserve">50~20% / </t>
    </r>
    <r>
      <rPr>
        <sz val="10"/>
        <rFont val="Noto Sans CJK SC"/>
        <family val="2"/>
      </rPr>
      <t xml:space="preserve">위급 </t>
    </r>
    <r>
      <rPr>
        <sz val="10"/>
        <rFont val="Arial"/>
        <family val="0"/>
        <charset val="1"/>
      </rPr>
      <t xml:space="preserve">20~0%</t>
    </r>
  </si>
  <si>
    <t xml:space="preserve">■ 실패 처리</t>
  </si>
  <si>
    <t xml:space="preserve">탄 것을 판다</t>
  </si>
  <si>
    <r>
      <rPr>
        <sz val="10"/>
        <rFont val="Noto Sans CJK SC"/>
        <family val="2"/>
      </rPr>
      <t xml:space="preserve">판매가 </t>
    </r>
    <r>
      <rPr>
        <sz val="10"/>
        <rFont val="Arial"/>
        <family val="0"/>
        <charset val="1"/>
      </rPr>
      <t xml:space="preserve">×0.2. </t>
    </r>
    <r>
      <rPr>
        <sz val="10"/>
        <rFont val="Noto Sans CJK SC"/>
        <family val="2"/>
      </rPr>
      <t xml:space="preserve">손님은 받고 떠난다</t>
    </r>
  </si>
  <si>
    <t xml:space="preserve">탄 것을 버린다</t>
  </si>
  <si>
    <r>
      <rPr>
        <sz val="10"/>
        <rFont val="Noto Sans CJK SC"/>
        <family val="2"/>
      </rPr>
      <t xml:space="preserve">매출 </t>
    </r>
    <r>
      <rPr>
        <sz val="10"/>
        <rFont val="Arial"/>
        <family val="0"/>
        <charset val="1"/>
      </rPr>
      <t xml:space="preserve">0 + </t>
    </r>
    <r>
      <rPr>
        <sz val="10"/>
        <rFont val="Noto Sans CJK SC"/>
        <family val="2"/>
      </rPr>
      <t xml:space="preserve">식기가 즉시 더러워진다</t>
    </r>
  </si>
  <si>
    <t xml:space="preserve">틀린 메뉴를 준다</t>
  </si>
  <si>
    <r>
      <rPr>
        <sz val="10"/>
        <rFont val="Noto Sans CJK SC"/>
        <family val="2"/>
      </rPr>
      <t xml:space="preserve">손님 즉시 이탈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매출 </t>
    </r>
    <r>
      <rPr>
        <sz val="10"/>
        <rFont val="Arial"/>
        <family val="0"/>
        <charset val="1"/>
      </rPr>
      <t xml:space="preserve">0) + </t>
    </r>
    <r>
      <rPr>
        <sz val="10"/>
        <rFont val="Noto Sans CJK SC"/>
        <family val="2"/>
      </rPr>
      <t xml:space="preserve">대기 전원 인내심 </t>
    </r>
    <r>
      <rPr>
        <sz val="10"/>
        <rFont val="Arial"/>
        <family val="0"/>
        <charset val="1"/>
      </rPr>
      <t xml:space="preserve">-20%</t>
    </r>
  </si>
  <si>
    <r>
      <rPr>
        <b val="true"/>
        <sz val="14"/>
        <color rgb="FF3D2B45"/>
        <rFont val="Noto Sans CJK SC"/>
        <family val="2"/>
      </rPr>
      <t xml:space="preserve">박스 — 자리 </t>
    </r>
    <r>
      <rPr>
        <b val="true"/>
        <sz val="14"/>
        <color rgb="FF3D2B45"/>
        <rFont val="Arial"/>
        <family val="0"/>
        <charset val="1"/>
      </rPr>
      <t xml:space="preserve">× </t>
    </r>
    <r>
      <rPr>
        <b val="true"/>
        <sz val="14"/>
        <color rgb="FF3D2B45"/>
        <rFont val="Noto Sans CJK SC"/>
        <family val="2"/>
      </rPr>
      <t xml:space="preserve">일차 등급 확률</t>
    </r>
  </si>
  <si>
    <r>
      <rPr>
        <i val="true"/>
        <sz val="9"/>
        <color rgb="FF6B5E6D"/>
        <rFont val="Noto Sans CJK SC"/>
        <family val="2"/>
      </rPr>
      <t xml:space="preserve">기획서 </t>
    </r>
    <r>
      <rPr>
        <i val="true"/>
        <sz val="9"/>
        <color rgb="FF6B5E6D"/>
        <rFont val="Arial"/>
        <family val="0"/>
        <charset val="1"/>
      </rPr>
      <t xml:space="preserve">6.3.1 · </t>
    </r>
    <r>
      <rPr>
        <i val="true"/>
        <sz val="9"/>
        <color rgb="FF6B5E6D"/>
        <rFont val="Noto Sans CJK SC"/>
        <family val="2"/>
      </rPr>
      <t xml:space="preserve">박스 개수는 매 밤 </t>
    </r>
    <r>
      <rPr>
        <i val="true"/>
        <sz val="9"/>
        <color rgb="FF6B5E6D"/>
        <rFont val="Arial"/>
        <family val="0"/>
        <charset val="1"/>
      </rPr>
      <t xml:space="preserve">12~16</t>
    </r>
    <r>
      <rPr>
        <i val="true"/>
        <sz val="9"/>
        <color rgb="FF6B5E6D"/>
        <rFont val="Noto Sans CJK SC"/>
        <family val="2"/>
      </rPr>
      <t xml:space="preserve">개 랜덤</t>
    </r>
    <r>
      <rPr>
        <i val="true"/>
        <sz val="9"/>
        <color rgb="FF6B5E6D"/>
        <rFont val="Arial"/>
        <family val="0"/>
        <charset val="1"/>
      </rPr>
      <t xml:space="preserve">(</t>
    </r>
    <r>
      <rPr>
        <i val="true"/>
        <sz val="9"/>
        <color rgb="FF6B5E6D"/>
        <rFont val="Noto Sans CJK SC"/>
        <family val="2"/>
      </rPr>
      <t xml:space="preserve">일차와 무관</t>
    </r>
    <r>
      <rPr>
        <i val="true"/>
        <sz val="9"/>
        <color rgb="FF6B5E6D"/>
        <rFont val="Arial"/>
        <family val="0"/>
        <charset val="1"/>
      </rPr>
      <t xml:space="preserve">), </t>
    </r>
    <r>
      <rPr>
        <i val="true"/>
        <sz val="9"/>
        <color rgb="FF6B5E6D"/>
        <rFont val="Noto Sans CJK SC"/>
        <family val="2"/>
      </rPr>
      <t xml:space="preserve">구역 배분 바깥 </t>
    </r>
    <r>
      <rPr>
        <i val="true"/>
        <sz val="9"/>
        <color rgb="FF6B5E6D"/>
        <rFont val="Arial"/>
        <family val="0"/>
        <charset val="1"/>
      </rPr>
      <t xml:space="preserve">45% · </t>
    </r>
    <r>
      <rPr>
        <i val="true"/>
        <sz val="9"/>
        <color rgb="FF6B5E6D"/>
        <rFont val="Noto Sans CJK SC"/>
        <family val="2"/>
      </rPr>
      <t xml:space="preserve">중간 </t>
    </r>
    <r>
      <rPr>
        <i val="true"/>
        <sz val="9"/>
        <color rgb="FF6B5E6D"/>
        <rFont val="Arial"/>
        <family val="0"/>
        <charset val="1"/>
      </rPr>
      <t xml:space="preserve">35% · </t>
    </r>
    <r>
      <rPr>
        <i val="true"/>
        <sz val="9"/>
        <color rgb="FF6B5E6D"/>
        <rFont val="Noto Sans CJK SC"/>
        <family val="2"/>
      </rPr>
      <t xml:space="preserve">중심 </t>
    </r>
    <r>
      <rPr>
        <i val="true"/>
        <sz val="9"/>
        <color rgb="FF6B5E6D"/>
        <rFont val="Arial"/>
        <family val="0"/>
        <charset val="1"/>
      </rPr>
      <t xml:space="preserve">20%</t>
    </r>
  </si>
  <si>
    <t xml:space="preserve">구역</t>
  </si>
  <si>
    <t xml:space="preserve">등급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</si>
  <si>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일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</si>
  <si>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일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</si>
  <si>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일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</si>
  <si>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Noto Sans CJK SC"/>
        <family val="2"/>
      </rPr>
      <t xml:space="preserve">일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</si>
  <si>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Noto Sans CJK SC"/>
        <family val="2"/>
      </rPr>
      <t xml:space="preserve">일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</si>
  <si>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Noto Sans CJK SC"/>
        <family val="2"/>
      </rPr>
      <t xml:space="preserve">일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</si>
  <si>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Noto Sans CJK SC"/>
        <family val="2"/>
      </rPr>
      <t xml:space="preserve">일</t>
    </r>
  </si>
  <si>
    <t xml:space="preserve">바깥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</si>
  <si>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등급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</si>
  <si>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등급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</si>
  <si>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등급</t>
    </r>
  </si>
  <si>
    <t xml:space="preserve">중간</t>
  </si>
  <si>
    <t xml:space="preserve">중심</t>
  </si>
  <si>
    <r>
      <rPr>
        <i val="true"/>
        <sz val="9"/>
        <color rgb="FF6B5E6D"/>
        <rFont val="Noto Sans CJK SC"/>
        <family val="2"/>
      </rPr>
      <t xml:space="preserve">바깥에서는 끝까지 </t>
    </r>
    <r>
      <rPr>
        <i val="true"/>
        <sz val="9"/>
        <color rgb="FF6B5E6D"/>
        <rFont val="Arial"/>
        <family val="0"/>
        <charset val="1"/>
      </rPr>
      <t xml:space="preserve">3</t>
    </r>
    <r>
      <rPr>
        <i val="true"/>
        <sz val="9"/>
        <color rgb="FF6B5E6D"/>
        <rFont val="Noto Sans CJK SC"/>
        <family val="2"/>
      </rPr>
      <t xml:space="preserve">등급이 나오지 않는다</t>
    </r>
    <r>
      <rPr>
        <i val="true"/>
        <sz val="9"/>
        <color rgb="FF6B5E6D"/>
        <rFont val="Arial"/>
        <family val="0"/>
        <charset val="1"/>
      </rPr>
      <t xml:space="preserve">. </t>
    </r>
    <r>
      <rPr>
        <i val="true"/>
        <sz val="9"/>
        <color rgb="FF6B5E6D"/>
        <rFont val="Noto Sans CJK SC"/>
        <family val="2"/>
      </rPr>
      <t xml:space="preserve">안전한 자리에서 대박이 나면 중심에 갈 이유가 사라진다</t>
    </r>
    <r>
      <rPr>
        <i val="true"/>
        <sz val="9"/>
        <color rgb="FF6B5E6D"/>
        <rFont val="Arial"/>
        <family val="0"/>
        <charset val="1"/>
      </rPr>
      <t xml:space="preserve">.</t>
    </r>
  </si>
  <si>
    <r>
      <rPr>
        <i val="true"/>
        <sz val="9"/>
        <color rgb="FF6B5E6D"/>
        <rFont val="Arial"/>
        <family val="0"/>
        <charset val="1"/>
      </rPr>
      <t xml:space="preserve">3</t>
    </r>
    <r>
      <rPr>
        <i val="true"/>
        <sz val="9"/>
        <color rgb="FF6B5E6D"/>
        <rFont val="Noto Sans CJK SC"/>
        <family val="2"/>
      </rPr>
      <t xml:space="preserve">일차부터 중간에 </t>
    </r>
    <r>
      <rPr>
        <i val="true"/>
        <sz val="9"/>
        <color rgb="FF6B5E6D"/>
        <rFont val="Arial"/>
        <family val="0"/>
        <charset val="1"/>
      </rPr>
      <t xml:space="preserve">3</t>
    </r>
    <r>
      <rPr>
        <i val="true"/>
        <sz val="9"/>
        <color rgb="FF6B5E6D"/>
        <rFont val="Noto Sans CJK SC"/>
        <family val="2"/>
      </rPr>
      <t xml:space="preserve">등급이 </t>
    </r>
    <r>
      <rPr>
        <i val="true"/>
        <sz val="9"/>
        <color rgb="FF6B5E6D"/>
        <rFont val="Arial"/>
        <family val="0"/>
        <charset val="1"/>
      </rPr>
      <t xml:space="preserve">5%</t>
    </r>
    <r>
      <rPr>
        <i val="true"/>
        <sz val="9"/>
        <color rgb="FF6B5E6D"/>
        <rFont val="Noto Sans CJK SC"/>
        <family val="2"/>
      </rPr>
      <t xml:space="preserve">로 열린다</t>
    </r>
    <r>
      <rPr>
        <i val="true"/>
        <sz val="9"/>
        <color rgb="FF6B5E6D"/>
        <rFont val="Arial"/>
        <family val="0"/>
        <charset val="1"/>
      </rPr>
      <t xml:space="preserve">. </t>
    </r>
    <r>
      <rPr>
        <i val="true"/>
        <sz val="9"/>
        <color rgb="FF6B5E6D"/>
        <rFont val="Noto Sans CJK SC"/>
        <family val="2"/>
      </rPr>
      <t xml:space="preserve">중심까지 가지 않아도 터질 수 있어야 중간을 파는 선택이 도박이 된다</t>
    </r>
    <r>
      <rPr>
        <i val="true"/>
        <sz val="9"/>
        <color rgb="FF6B5E6D"/>
        <rFont val="Arial"/>
        <family val="0"/>
        <charset val="1"/>
      </rPr>
      <t xml:space="preserve">.</t>
    </r>
  </si>
  <si>
    <r>
      <rPr>
        <i val="true"/>
        <sz val="9"/>
        <color rgb="FF6B5E6D"/>
        <rFont val="Arial"/>
        <family val="0"/>
        <charset val="1"/>
      </rPr>
      <t xml:space="preserve">1</t>
    </r>
    <r>
      <rPr>
        <i val="true"/>
        <sz val="9"/>
        <color rgb="FF6B5E6D"/>
        <rFont val="Noto Sans CJK SC"/>
        <family val="2"/>
      </rPr>
      <t xml:space="preserve">일차에는 중심까지 가도 </t>
    </r>
    <r>
      <rPr>
        <i val="true"/>
        <sz val="9"/>
        <color rgb="FF6B5E6D"/>
        <rFont val="Arial"/>
        <family val="0"/>
        <charset val="1"/>
      </rPr>
      <t xml:space="preserve">3</t>
    </r>
    <r>
      <rPr>
        <i val="true"/>
        <sz val="9"/>
        <color rgb="FF6B5E6D"/>
        <rFont val="Noto Sans CJK SC"/>
        <family val="2"/>
      </rPr>
      <t xml:space="preserve">등급이 없다</t>
    </r>
    <r>
      <rPr>
        <i val="true"/>
        <sz val="9"/>
        <color rgb="FF6B5E6D"/>
        <rFont val="Arial"/>
        <family val="0"/>
        <charset val="1"/>
      </rPr>
      <t xml:space="preserve">. Night 0</t>
    </r>
    <r>
      <rPr>
        <i val="true"/>
        <sz val="9"/>
        <color rgb="FF6B5E6D"/>
        <rFont val="Noto Sans CJK SC"/>
        <family val="2"/>
      </rPr>
      <t xml:space="preserve">은 가르치는 밤이고 실제 보상은 </t>
    </r>
    <r>
      <rPr>
        <i val="true"/>
        <sz val="9"/>
        <color rgb="FF6B5E6D"/>
        <rFont val="Arial"/>
        <family val="0"/>
        <charset val="1"/>
      </rPr>
      <t xml:space="preserve">2</t>
    </r>
    <r>
      <rPr>
        <i val="true"/>
        <sz val="9"/>
        <color rgb="FF6B5E6D"/>
        <rFont val="Noto Sans CJK SC"/>
        <family val="2"/>
      </rPr>
      <t xml:space="preserve">일차부터다</t>
    </r>
    <r>
      <rPr>
        <i val="true"/>
        <sz val="9"/>
        <color rgb="FF6B5E6D"/>
        <rFont val="Arial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</si>
  <si>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결과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박스 </t>
    </r>
    <r>
      <rPr>
        <b val="true"/>
        <sz val="10"/>
        <color rgb="FFFFFFFF"/>
        <rFont val="Arial"/>
        <family val="0"/>
        <charset val="1"/>
      </rPr>
      <t xml:space="preserve">14</t>
    </r>
    <r>
      <rPr>
        <b val="true"/>
        <sz val="10"/>
        <color rgb="FFFFFFFF"/>
        <rFont val="Noto Sans CJK SC"/>
        <family val="2"/>
      </rPr>
      <t xml:space="preserve">개 기준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</si>
  <si>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등급 개수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</si>
  <si>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등급 개수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</si>
  <si>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등급 개수</t>
    </r>
  </si>
  <si>
    <t xml:space="preserve">총 슬롯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</si>
  <si>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인 몫 슬롯</t>
    </r>
  </si>
  <si>
    <r>
      <rPr>
        <i val="true"/>
        <sz val="9"/>
        <color rgb="FF6B5E6D"/>
        <rFont val="Noto Sans CJK SC"/>
        <family val="2"/>
      </rPr>
      <t xml:space="preserve">박스 수는 그대로인데 </t>
    </r>
    <r>
      <rPr>
        <i val="true"/>
        <sz val="9"/>
        <color rgb="FF6B5E6D"/>
        <rFont val="Arial"/>
        <family val="0"/>
        <charset val="1"/>
      </rPr>
      <t xml:space="preserve">1</t>
    </r>
    <r>
      <rPr>
        <i val="true"/>
        <sz val="9"/>
        <color rgb="FF6B5E6D"/>
        <rFont val="Noto Sans CJK SC"/>
        <family val="2"/>
      </rPr>
      <t xml:space="preserve">등급이 </t>
    </r>
    <r>
      <rPr>
        <i val="true"/>
        <sz val="9"/>
        <color rgb="FF6B5E6D"/>
        <rFont val="Arial"/>
        <family val="0"/>
        <charset val="1"/>
      </rPr>
      <t xml:space="preserve">10.4 → 4.9</t>
    </r>
    <r>
      <rPr>
        <i val="true"/>
        <sz val="9"/>
        <color rgb="FF6B5E6D"/>
        <rFont val="Noto Sans CJK SC"/>
        <family val="2"/>
      </rPr>
      <t xml:space="preserve">로 빠지고 </t>
    </r>
    <r>
      <rPr>
        <i val="true"/>
        <sz val="9"/>
        <color rgb="FF6B5E6D"/>
        <rFont val="Arial"/>
        <family val="0"/>
        <charset val="1"/>
      </rPr>
      <t xml:space="preserve">3</t>
    </r>
    <r>
      <rPr>
        <i val="true"/>
        <sz val="9"/>
        <color rgb="FF6B5E6D"/>
        <rFont val="Noto Sans CJK SC"/>
        <family val="2"/>
      </rPr>
      <t xml:space="preserve">등급이 </t>
    </r>
    <r>
      <rPr>
        <i val="true"/>
        <sz val="9"/>
        <color rgb="FF6B5E6D"/>
        <rFont val="Arial"/>
        <family val="0"/>
        <charset val="1"/>
      </rPr>
      <t xml:space="preserve">0 → 3.5</t>
    </r>
    <r>
      <rPr>
        <i val="true"/>
        <sz val="9"/>
        <color rgb="FF6B5E6D"/>
        <rFont val="Noto Sans CJK SC"/>
        <family val="2"/>
      </rPr>
      <t xml:space="preserve">로 들어찬다</t>
    </r>
    <r>
      <rPr>
        <i val="true"/>
        <sz val="9"/>
        <color rgb="FF6B5E6D"/>
        <rFont val="Arial"/>
        <family val="0"/>
        <charset val="1"/>
      </rPr>
      <t xml:space="preserve">. </t>
    </r>
    <r>
      <rPr>
        <i val="true"/>
        <sz val="9"/>
        <color rgb="FF6B5E6D"/>
        <rFont val="Noto Sans CJK SC"/>
        <family val="2"/>
      </rPr>
      <t xml:space="preserve">슬롯 총량은 </t>
    </r>
    <r>
      <rPr>
        <i val="true"/>
        <sz val="9"/>
        <color rgb="FF6B5E6D"/>
        <rFont val="Arial"/>
        <family val="0"/>
        <charset val="1"/>
      </rPr>
      <t xml:space="preserve">23%</t>
    </r>
    <r>
      <rPr>
        <i val="true"/>
        <sz val="9"/>
        <color rgb="FF6B5E6D"/>
        <rFont val="Noto Sans CJK SC"/>
        <family val="2"/>
      </rPr>
      <t xml:space="preserve">만 오르므로 더 많이 담는 것이 아니라 더 좋은 것을 담게 된다</t>
    </r>
    <r>
      <rPr>
        <i val="true"/>
        <sz val="9"/>
        <color rgb="FF6B5E6D"/>
        <rFont val="Arial"/>
        <family val="0"/>
        <charset val="1"/>
      </rPr>
      <t xml:space="preserve">.</t>
    </r>
  </si>
  <si>
    <r>
      <rPr>
        <b val="true"/>
        <sz val="14"/>
        <color rgb="FF3D2B45"/>
        <rFont val="Noto Sans CJK SC"/>
        <family val="2"/>
      </rPr>
      <t xml:space="preserve">일차별 재료 풀 </t>
    </r>
    <r>
      <rPr>
        <b val="true"/>
        <sz val="14"/>
        <color rgb="FF3D2B45"/>
        <rFont val="Arial"/>
        <family val="0"/>
        <charset val="1"/>
      </rPr>
      <t xml:space="preserve">· </t>
    </r>
    <r>
      <rPr>
        <b val="true"/>
        <sz val="14"/>
        <color rgb="FF3D2B45"/>
        <rFont val="Noto Sans CJK SC"/>
        <family val="2"/>
      </rPr>
      <t xml:space="preserve">보석과 블러드 빈 등장</t>
    </r>
  </si>
  <si>
    <r>
      <rPr>
        <i val="true"/>
        <sz val="9"/>
        <color rgb="FF6B5E6D"/>
        <rFont val="Noto Sans CJK SC"/>
        <family val="2"/>
      </rPr>
      <t xml:space="preserve">기획서 </t>
    </r>
    <r>
      <rPr>
        <i val="true"/>
        <sz val="9"/>
        <color rgb="FF6B5E6D"/>
        <rFont val="Arial"/>
        <family val="0"/>
        <charset val="1"/>
      </rPr>
      <t xml:space="preserve">6.3.2 · 6.5.2 · </t>
    </r>
    <r>
      <rPr>
        <i val="true"/>
        <sz val="9"/>
        <color rgb="FF6B5E6D"/>
        <rFont val="Noto Sans CJK SC"/>
        <family val="2"/>
      </rPr>
      <t xml:space="preserve">종류를 막지 않고 가중치로 조절한다</t>
    </r>
  </si>
  <si>
    <t xml:space="preserve">무게</t>
  </si>
  <si>
    <t xml:space="preserve">주 용도</t>
  </si>
  <si>
    <t xml:space="preserve">우유</t>
  </si>
  <si>
    <r>
      <rPr>
        <sz val="10"/>
        <rFont val="Noto Sans CJK SC"/>
        <family val="2"/>
      </rPr>
      <t xml:space="preserve">라떼 계열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종</t>
    </r>
  </si>
  <si>
    <t xml:space="preserve">얼음</t>
  </si>
  <si>
    <r>
      <rPr>
        <sz val="10"/>
        <rFont val="Noto Sans CJK SC"/>
        <family val="2"/>
      </rPr>
      <t xml:space="preserve">아이스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종 </t>
    </r>
    <r>
      <rPr>
        <sz val="10"/>
        <rFont val="Arial"/>
        <family val="0"/>
        <charset val="1"/>
      </rPr>
      <t xml:space="preserve">· Temp.Cold </t>
    </r>
    <r>
      <rPr>
        <sz val="10"/>
        <rFont val="Noto Sans CJK SC"/>
        <family val="2"/>
      </rPr>
      <t xml:space="preserve">손님</t>
    </r>
  </si>
  <si>
    <t xml:space="preserve">크림</t>
  </si>
  <si>
    <r>
      <rPr>
        <sz val="10"/>
        <rFont val="Noto Sans CJK SC"/>
        <family val="2"/>
      </rPr>
      <t xml:space="preserve">아인슈페너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크림 케이크</t>
    </r>
  </si>
  <si>
    <t xml:space="preserve">아몬드</t>
  </si>
  <si>
    <t xml:space="preserve">초콜렛</t>
  </si>
  <si>
    <r>
      <rPr>
        <sz val="10"/>
        <rFont val="Noto Sans CJK SC"/>
        <family val="2"/>
      </rPr>
      <t xml:space="preserve">카페모카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아이스모카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브라우니 — 매출 곡선의 변곡점</t>
    </r>
  </si>
  <si>
    <t xml:space="preserve">베리</t>
  </si>
  <si>
    <r>
      <rPr>
        <sz val="10"/>
        <rFont val="Noto Sans CJK SC"/>
        <family val="2"/>
      </rPr>
      <t xml:space="preserve">베리 타르트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뱀파이어 선호</t>
    </r>
  </si>
  <si>
    <t xml:space="preserve">블러드 빈</t>
  </si>
  <si>
    <t xml:space="preserve">확률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</si>
  <si>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등급 상자 전용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판매가 </t>
    </r>
    <r>
      <rPr>
        <sz val="10"/>
        <rFont val="Arial"/>
        <family val="0"/>
        <charset val="1"/>
      </rPr>
      <t xml:space="preserve">×3</t>
    </r>
  </si>
  <si>
    <t xml:space="preserve">업그레이드 보석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</si>
  <si>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등급 확정 </t>
    </r>
    <r>
      <rPr>
        <sz val="10"/>
        <rFont val="Arial"/>
        <family val="0"/>
        <charset val="1"/>
      </rPr>
      <t xml:space="preserve">+ 2</t>
    </r>
    <r>
      <rPr>
        <sz val="10"/>
        <rFont val="Noto Sans CJK SC"/>
        <family val="2"/>
      </rPr>
      <t xml:space="preserve">등급 </t>
    </r>
    <r>
      <rPr>
        <sz val="10"/>
        <rFont val="Arial"/>
        <family val="0"/>
        <charset val="1"/>
      </rPr>
      <t xml:space="preserve">5~12%</t>
    </r>
  </si>
  <si>
    <t xml:space="preserve">등장 확률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</si>
  <si>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등급의 보석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</si>
  <si>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등급의 블러드 빈</t>
    </r>
  </si>
  <si>
    <t xml:space="preserve">밤당 기대 보석</t>
  </si>
  <si>
    <t xml:space="preserve">밤당 기대 블러드 빈</t>
  </si>
  <si>
    <r>
      <rPr>
        <i val="true"/>
        <sz val="9"/>
        <color rgb="FF6B5E6D"/>
        <rFont val="Noto Sans CJK SC"/>
        <family val="2"/>
      </rPr>
      <t xml:space="preserve">판 전체 보석 약 </t>
    </r>
    <r>
      <rPr>
        <i val="true"/>
        <sz val="9"/>
        <color rgb="FF6B5E6D"/>
        <rFont val="Arial"/>
        <family val="0"/>
        <charset val="1"/>
      </rPr>
      <t xml:space="preserve">15</t>
    </r>
    <r>
      <rPr>
        <i val="true"/>
        <sz val="9"/>
        <color rgb="FF6B5E6D"/>
        <rFont val="Noto Sans CJK SC"/>
        <family val="2"/>
      </rPr>
      <t xml:space="preserve">개</t>
    </r>
    <r>
      <rPr>
        <i val="true"/>
        <sz val="9"/>
        <color rgb="FF6B5E6D"/>
        <rFont val="Arial"/>
        <family val="0"/>
        <charset val="1"/>
      </rPr>
      <t xml:space="preserve">, 1</t>
    </r>
    <r>
      <rPr>
        <i val="true"/>
        <sz val="9"/>
        <color rgb="FF6B5E6D"/>
        <rFont val="Noto Sans CJK SC"/>
        <family val="2"/>
      </rPr>
      <t xml:space="preserve">인당 </t>
    </r>
    <r>
      <rPr>
        <i val="true"/>
        <sz val="9"/>
        <color rgb="FF6B5E6D"/>
        <rFont val="Arial"/>
        <family val="0"/>
        <charset val="1"/>
      </rPr>
      <t xml:space="preserve">3.8</t>
    </r>
    <r>
      <rPr>
        <i val="true"/>
        <sz val="9"/>
        <color rgb="FF6B5E6D"/>
        <rFont val="Noto Sans CJK SC"/>
        <family val="2"/>
      </rPr>
      <t xml:space="preserve">개</t>
    </r>
    <r>
      <rPr>
        <i val="true"/>
        <sz val="9"/>
        <color rgb="FF6B5E6D"/>
        <rFont val="Arial"/>
        <family val="0"/>
        <charset val="1"/>
      </rPr>
      <t xml:space="preserve">. 3</t>
    </r>
    <r>
      <rPr>
        <i val="true"/>
        <sz val="9"/>
        <color rgb="FF6B5E6D"/>
        <rFont val="Noto Sans CJK SC"/>
        <family val="2"/>
      </rPr>
      <t xml:space="preserve">턴 버프라 중반부터는 늘 </t>
    </r>
    <r>
      <rPr>
        <i val="true"/>
        <sz val="9"/>
        <color rgb="FF6B5E6D"/>
        <rFont val="Arial"/>
        <family val="0"/>
        <charset val="1"/>
      </rPr>
      <t xml:space="preserve">1~2</t>
    </r>
    <r>
      <rPr>
        <i val="true"/>
        <sz val="9"/>
        <color rgb="FF6B5E6D"/>
        <rFont val="Noto Sans CJK SC"/>
        <family val="2"/>
      </rPr>
      <t xml:space="preserve">개가 걸려 있다</t>
    </r>
    <r>
      <rPr>
        <i val="true"/>
        <sz val="9"/>
        <color rgb="FF6B5E6D"/>
        <rFont val="Arial"/>
        <family val="0"/>
        <charset val="1"/>
      </rPr>
      <t xml:space="preserve">.</t>
    </r>
  </si>
  <si>
    <r>
      <rPr>
        <i val="true"/>
        <sz val="9"/>
        <color rgb="FF6B5E6D"/>
        <rFont val="Arial"/>
        <family val="0"/>
        <charset val="1"/>
      </rPr>
      <t xml:space="preserve">2</t>
    </r>
    <r>
      <rPr>
        <i val="true"/>
        <sz val="9"/>
        <color rgb="FF6B5E6D"/>
        <rFont val="Noto Sans CJK SC"/>
        <family val="2"/>
      </rPr>
      <t xml:space="preserve">등급에도 보석을 넣은 이유 — </t>
    </r>
    <r>
      <rPr>
        <i val="true"/>
        <sz val="9"/>
        <color rgb="FF6B5E6D"/>
        <rFont val="Arial"/>
        <family val="0"/>
        <charset val="1"/>
      </rPr>
      <t xml:space="preserve">1·2</t>
    </r>
    <r>
      <rPr>
        <i val="true"/>
        <sz val="9"/>
        <color rgb="FF6B5E6D"/>
        <rFont val="Noto Sans CJK SC"/>
        <family val="2"/>
      </rPr>
      <t xml:space="preserve">일차에는 </t>
    </r>
    <r>
      <rPr>
        <i val="true"/>
        <sz val="9"/>
        <color rgb="FF6B5E6D"/>
        <rFont val="Arial"/>
        <family val="0"/>
        <charset val="1"/>
      </rPr>
      <t xml:space="preserve">3</t>
    </r>
    <r>
      <rPr>
        <i val="true"/>
        <sz val="9"/>
        <color rgb="FF6B5E6D"/>
        <rFont val="Noto Sans CJK SC"/>
        <family val="2"/>
      </rPr>
      <t xml:space="preserve">등급이 거의 없어 그 확률이 없으면 초반 이틀 동안 보석이 아예 나오지 않는다</t>
    </r>
    <r>
      <rPr>
        <i val="true"/>
        <sz val="9"/>
        <color rgb="FF6B5E6D"/>
        <rFont val="Arial"/>
        <family val="0"/>
        <charset val="1"/>
      </rPr>
      <t xml:space="preserve">.</t>
    </r>
  </si>
  <si>
    <r>
      <rPr>
        <i val="true"/>
        <sz val="9"/>
        <color rgb="FF6B5E6D"/>
        <rFont val="Noto Sans CJK SC"/>
        <family val="2"/>
      </rPr>
      <t xml:space="preserve">블러드 빈은 한 상자에 최대 </t>
    </r>
    <r>
      <rPr>
        <i val="true"/>
        <sz val="9"/>
        <color rgb="FF6B5E6D"/>
        <rFont val="Arial"/>
        <family val="0"/>
        <charset val="1"/>
      </rPr>
      <t xml:space="preserve">1</t>
    </r>
    <r>
      <rPr>
        <i val="true"/>
        <sz val="9"/>
        <color rgb="FF6B5E6D"/>
        <rFont val="Noto Sans CJK SC"/>
        <family val="2"/>
      </rPr>
      <t xml:space="preserve">개</t>
    </r>
    <r>
      <rPr>
        <i val="true"/>
        <sz val="9"/>
        <color rgb="FF6B5E6D"/>
        <rFont val="Arial"/>
        <family val="0"/>
        <charset val="1"/>
      </rPr>
      <t xml:space="preserve">, 4</t>
    </r>
    <r>
      <rPr>
        <i val="true"/>
        <sz val="9"/>
        <color rgb="FF6B5E6D"/>
        <rFont val="Noto Sans CJK SC"/>
        <family val="2"/>
      </rPr>
      <t xml:space="preserve">일차부터</t>
    </r>
    <r>
      <rPr>
        <i val="true"/>
        <sz val="9"/>
        <color rgb="FF6B5E6D"/>
        <rFont val="Arial"/>
        <family val="0"/>
        <charset val="1"/>
      </rPr>
      <t xml:space="preserve">. </t>
    </r>
    <r>
      <rPr>
        <i val="true"/>
        <sz val="9"/>
        <color rgb="FF6B5E6D"/>
        <rFont val="Noto Sans CJK SC"/>
        <family val="2"/>
      </rPr>
      <t xml:space="preserve">판 전체 약 </t>
    </r>
    <r>
      <rPr>
        <i val="true"/>
        <sz val="9"/>
        <color rgb="FF6B5E6D"/>
        <rFont val="Arial"/>
        <family val="0"/>
        <charset val="1"/>
      </rPr>
      <t xml:space="preserve">4.4</t>
    </r>
    <r>
      <rPr>
        <i val="true"/>
        <sz val="9"/>
        <color rgb="FF6B5E6D"/>
        <rFont val="Noto Sans CJK SC"/>
        <family val="2"/>
      </rPr>
      <t xml:space="preserve">개 — </t>
    </r>
    <r>
      <rPr>
        <i val="true"/>
        <sz val="9"/>
        <color rgb="FF6B5E6D"/>
        <rFont val="Arial"/>
        <family val="0"/>
        <charset val="1"/>
      </rPr>
      <t xml:space="preserve">4</t>
    </r>
    <r>
      <rPr>
        <i val="true"/>
        <sz val="9"/>
        <color rgb="FF6B5E6D"/>
        <rFont val="Noto Sans CJK SC"/>
        <family val="2"/>
      </rPr>
      <t xml:space="preserve">인이 나누면 </t>
    </r>
    <r>
      <rPr>
        <i val="true"/>
        <sz val="9"/>
        <color rgb="FF6B5E6D"/>
        <rFont val="Arial"/>
        <family val="0"/>
        <charset val="1"/>
      </rPr>
      <t xml:space="preserve">1</t>
    </r>
    <r>
      <rPr>
        <i val="true"/>
        <sz val="9"/>
        <color rgb="FF6B5E6D"/>
        <rFont val="Noto Sans CJK SC"/>
        <family val="2"/>
      </rPr>
      <t xml:space="preserve">인 </t>
    </r>
    <r>
      <rPr>
        <i val="true"/>
        <sz val="9"/>
        <color rgb="FF6B5E6D"/>
        <rFont val="Arial"/>
        <family val="0"/>
        <charset val="1"/>
      </rPr>
      <t xml:space="preserve">1</t>
    </r>
    <r>
      <rPr>
        <i val="true"/>
        <sz val="9"/>
        <color rgb="FF6B5E6D"/>
        <rFont val="Noto Sans CJK SC"/>
        <family val="2"/>
      </rPr>
      <t xml:space="preserve">개 남짓이다</t>
    </r>
    <r>
      <rPr>
        <i val="true"/>
        <sz val="9"/>
        <color rgb="FF6B5E6D"/>
        <rFont val="Arial"/>
        <family val="0"/>
        <charset val="1"/>
      </rPr>
      <t xml:space="preserve">.</t>
    </r>
  </si>
  <si>
    <t xml:space="preserve">■ 등급별 내용</t>
  </si>
  <si>
    <r>
      <rPr>
        <sz val="11"/>
        <color theme="1"/>
        <rFont val="Noto Sans CJK SC"/>
        <family val="2"/>
      </rPr>
      <t xml:space="preserve">슬롯 </t>
    </r>
    <r>
      <rPr>
        <sz val="11"/>
        <color theme="1"/>
        <rFont val="Calibri"/>
        <family val="2"/>
        <charset val="1"/>
      </rPr>
      <t xml:space="preserve">2~3</t>
    </r>
  </si>
  <si>
    <r>
      <rPr>
        <sz val="11"/>
        <color theme="1"/>
        <rFont val="Noto Sans CJK SC"/>
        <family val="2"/>
      </rPr>
      <t xml:space="preserve">가림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</si>
  <si>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그날 풀의 흔한 재료만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가중치 상위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종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</si>
  <si>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슬롯 </t>
    </r>
    <r>
      <rPr>
        <sz val="11"/>
        <color theme="1"/>
        <rFont val="Calibri"/>
        <family val="2"/>
        <charset val="1"/>
      </rPr>
      <t xml:space="preserve">3~4</t>
    </r>
  </si>
  <si>
    <r>
      <rPr>
        <sz val="11"/>
        <color theme="1"/>
        <rFont val="Noto Sans CJK SC"/>
        <family val="2"/>
      </rPr>
      <t xml:space="preserve">가림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</si>
  <si>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그날 풀 전체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보석 </t>
    </r>
    <r>
      <rPr>
        <sz val="11"/>
        <color theme="1"/>
        <rFont val="Calibri"/>
        <family val="2"/>
        <charset val="1"/>
      </rPr>
      <t xml:space="preserve">5~12%</t>
    </r>
  </si>
  <si>
    <r>
      <rPr>
        <sz val="11"/>
        <color theme="1"/>
        <rFont val="Noto Sans CJK SC"/>
        <family val="2"/>
      </rPr>
      <t xml:space="preserve">슬롯 </t>
    </r>
    <r>
      <rPr>
        <sz val="11"/>
        <color theme="1"/>
        <rFont val="Calibri"/>
        <family val="2"/>
        <charset val="1"/>
      </rPr>
      <t xml:space="preserve">4~5</t>
    </r>
  </si>
  <si>
    <r>
      <rPr>
        <sz val="11"/>
        <color theme="1"/>
        <rFont val="Noto Sans CJK SC"/>
        <family val="2"/>
      </rPr>
      <t xml:space="preserve">가림 </t>
    </r>
    <r>
      <rPr>
        <sz val="11"/>
        <color theme="1"/>
        <rFont val="Calibri"/>
        <family val="2"/>
        <charset val="1"/>
      </rPr>
      <t xml:space="preserve">2~3</t>
    </r>
  </si>
  <si>
    <r>
      <rPr>
        <sz val="11"/>
        <color theme="1"/>
        <rFont val="Noto Sans CJK SC"/>
        <family val="2"/>
      </rPr>
      <t xml:space="preserve">보석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개 확정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블러드 빈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확률</t>
    </r>
    <r>
      <rPr>
        <sz val="11"/>
        <color theme="1"/>
        <rFont val="Calibri"/>
        <family val="2"/>
        <charset val="1"/>
      </rPr>
      <t xml:space="preserve">) + </t>
    </r>
    <r>
      <rPr>
        <sz val="11"/>
        <color theme="1"/>
        <rFont val="Noto Sans CJK SC"/>
        <family val="2"/>
      </rPr>
      <t xml:space="preserve">나머지는 그날 풀 전체</t>
    </r>
  </si>
  <si>
    <t xml:space="preserve">■ 인기 재료</t>
  </si>
  <si>
    <r>
      <rPr>
        <b val="true"/>
        <sz val="10"/>
        <rFont val="Arial"/>
        <family val="0"/>
        <charset val="1"/>
      </rPr>
      <t xml:space="preserve">1·2</t>
    </r>
    <r>
      <rPr>
        <b val="true"/>
        <sz val="10"/>
        <rFont val="Noto Sans CJK SC"/>
        <family val="2"/>
      </rPr>
      <t xml:space="preserve">일차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</si>
  <si>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종 — 풀이 </t>
    </r>
    <r>
      <rPr>
        <sz val="11"/>
        <color theme="1"/>
        <rFont val="Calibri"/>
        <family val="2"/>
        <charset val="1"/>
      </rPr>
      <t xml:space="preserve">3~4</t>
    </r>
    <r>
      <rPr>
        <sz val="11"/>
        <color theme="1"/>
        <rFont val="Noto Sans CJK SC"/>
        <family val="2"/>
      </rPr>
      <t xml:space="preserve">종뿐이라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종을 뽑으면 거의 전부가 인기 재료가 된다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</si>
  <si>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일차부터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</si>
  <si>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종</t>
    </r>
  </si>
  <si>
    <t xml:space="preserve">보너스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</si>
  <si>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개당 </t>
    </r>
    <r>
      <rPr>
        <sz val="11"/>
        <color theme="1"/>
        <rFont val="Calibri"/>
        <family val="2"/>
        <charset val="1"/>
      </rPr>
      <t xml:space="preserve">+30%, </t>
    </r>
    <r>
      <rPr>
        <sz val="11"/>
        <color theme="1"/>
        <rFont val="Noto Sans CJK SC"/>
        <family val="2"/>
      </rPr>
      <t xml:space="preserve">합산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천장은 아이스모카의 </t>
    </r>
    <r>
      <rPr>
        <sz val="11"/>
        <color theme="1"/>
        <rFont val="Calibri"/>
        <family val="2"/>
        <charset val="1"/>
      </rPr>
      <t xml:space="preserve">+90% (×1.9)</t>
    </r>
  </si>
  <si>
    <t xml:space="preserve">제외</t>
  </si>
  <si>
    <r>
      <rPr>
        <sz val="11"/>
        <color theme="1"/>
        <rFont val="Noto Sans CJK SC"/>
        <family val="2"/>
      </rPr>
      <t xml:space="preserve">블러드 빈에는 붙지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상비 재료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원두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빵 베이스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도 추첨 대상이 아니다</t>
    </r>
  </si>
  <si>
    <r>
      <rPr>
        <b val="true"/>
        <sz val="14"/>
        <color rgb="FF3D2B45"/>
        <rFont val="Noto Sans CJK SC"/>
        <family val="2"/>
      </rPr>
      <t xml:space="preserve">밤 — 무게 </t>
    </r>
    <r>
      <rPr>
        <b val="true"/>
        <sz val="14"/>
        <color rgb="FF3D2B45"/>
        <rFont val="Arial"/>
        <family val="0"/>
        <charset val="1"/>
      </rPr>
      <t xml:space="preserve">· </t>
    </r>
    <r>
      <rPr>
        <b val="true"/>
        <sz val="14"/>
        <color rgb="FF3D2B45"/>
        <rFont val="Noto Sans CJK SC"/>
        <family val="2"/>
      </rPr>
      <t xml:space="preserve">견제 </t>
    </r>
    <r>
      <rPr>
        <b val="true"/>
        <sz val="14"/>
        <color rgb="FF3D2B45"/>
        <rFont val="Arial"/>
        <family val="0"/>
        <charset val="1"/>
      </rPr>
      <t xml:space="preserve">· </t>
    </r>
    <r>
      <rPr>
        <b val="true"/>
        <sz val="14"/>
        <color rgb="FF3D2B45"/>
        <rFont val="Noto Sans CJK SC"/>
        <family val="2"/>
      </rPr>
      <t xml:space="preserve">귀환</t>
    </r>
  </si>
  <si>
    <r>
      <rPr>
        <i val="true"/>
        <sz val="9"/>
        <color rgb="FF6B5E6D"/>
        <rFont val="Noto Sans CJK SC"/>
        <family val="2"/>
      </rPr>
      <t xml:space="preserve">기획서 </t>
    </r>
    <r>
      <rPr>
        <i val="true"/>
        <sz val="9"/>
        <color rgb="FF6B5E6D"/>
        <rFont val="Arial"/>
        <family val="0"/>
        <charset val="1"/>
      </rPr>
      <t xml:space="preserve">6.1 · 6.5 · 6.6 · 6.7 · 6.8</t>
    </r>
  </si>
  <si>
    <t xml:space="preserve">■ 목표</t>
  </si>
  <si>
    <t xml:space="preserve">수확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</si>
  <si>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 밤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분 수확량</t>
    </r>
  </si>
  <si>
    <r>
      <rPr>
        <sz val="10"/>
        <rFont val="Noto Sans CJK SC"/>
        <family val="2"/>
      </rPr>
      <t xml:space="preserve">팀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낮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잔 </t>
    </r>
    <r>
      <rPr>
        <sz val="10"/>
        <rFont val="Arial"/>
        <family val="0"/>
        <charset val="1"/>
      </rPr>
      <t xml:space="preserve">× 1.5</t>
    </r>
    <r>
      <rPr>
        <sz val="10"/>
        <rFont val="Noto Sans CJK SC"/>
        <family val="2"/>
      </rPr>
      <t xml:space="preserve">의 하한</t>
    </r>
  </si>
  <si>
    <t xml:space="preserve">■ 무게</t>
  </si>
  <si>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기준선</t>
    </r>
  </si>
  <si>
    <t xml:space="preserve">10</t>
  </si>
  <si>
    <t xml:space="preserve">0.5</t>
  </si>
  <si>
    <r>
      <rPr>
        <sz val="10"/>
        <rFont val="Noto Sans CJK SC"/>
        <family val="2"/>
      </rPr>
      <t xml:space="preserve">우유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크림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초콜렛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아몬드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베리</t>
    </r>
  </si>
  <si>
    <r>
      <rPr>
        <sz val="10"/>
        <rFont val="Noto Sans CJK SC"/>
        <family val="2"/>
      </rPr>
      <t xml:space="preserve">블러드 빈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보석</t>
    </r>
  </si>
  <si>
    <r>
      <rPr>
        <sz val="10"/>
        <rFont val="Noto Sans CJK SC"/>
        <family val="2"/>
      </rPr>
      <t xml:space="preserve">일반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=80%(</t>
    </r>
    <r>
      <rPr>
        <sz val="10"/>
        <rFont val="Noto Sans CJK SC"/>
        <family val="2"/>
      </rPr>
      <t xml:space="preserve">낙하 위험선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보석 하나 더</t>
    </r>
    <r>
      <rPr>
        <sz val="10"/>
        <rFont val="Arial"/>
        <family val="0"/>
        <charset val="1"/>
      </rPr>
      <t xml:space="preserve">=110%(</t>
    </r>
    <r>
      <rPr>
        <sz val="10"/>
        <rFont val="Noto Sans CJK SC"/>
        <family val="2"/>
      </rPr>
      <t xml:space="preserve">속도 </t>
    </r>
    <r>
      <rPr>
        <sz val="10"/>
        <rFont val="Arial"/>
        <family val="0"/>
        <charset val="1"/>
      </rPr>
      <t xml:space="preserve">55%, </t>
    </r>
    <r>
      <rPr>
        <sz val="10"/>
        <rFont val="Noto Sans CJK SC"/>
        <family val="2"/>
      </rPr>
      <t xml:space="preserve">귀환 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)</t>
    </r>
  </si>
  <si>
    <t xml:space="preserve">■ 안개</t>
  </si>
  <si>
    <t xml:space="preserve">안개</t>
  </si>
  <si>
    <t xml:space="preserve">걷힘 반경</t>
  </si>
  <si>
    <t xml:space="preserve">12m</t>
  </si>
  <si>
    <r>
      <rPr>
        <sz val="10"/>
        <rFont val="Noto Sans CJK SC"/>
        <family val="2"/>
      </rPr>
      <t xml:space="preserve">중심으로 갈수록 층마다 </t>
    </r>
    <r>
      <rPr>
        <sz val="10"/>
        <rFont val="Arial"/>
        <family val="0"/>
        <charset val="1"/>
      </rPr>
      <t xml:space="preserve">-20% (</t>
    </r>
    <r>
      <rPr>
        <sz val="10"/>
        <rFont val="Noto Sans CJK SC"/>
        <family val="2"/>
      </rPr>
      <t xml:space="preserve">중간 </t>
    </r>
    <r>
      <rPr>
        <sz val="10"/>
        <rFont val="Arial"/>
        <family val="0"/>
        <charset val="1"/>
      </rPr>
      <t xml:space="preserve">9.6m · </t>
    </r>
    <r>
      <rPr>
        <sz val="10"/>
        <rFont val="Noto Sans CJK SC"/>
        <family val="2"/>
      </rPr>
      <t xml:space="preserve">중심 </t>
    </r>
    <r>
      <rPr>
        <sz val="10"/>
        <rFont val="Arial"/>
        <family val="0"/>
        <charset val="1"/>
      </rPr>
      <t xml:space="preserve">7.7m)</t>
    </r>
  </si>
  <si>
    <t xml:space="preserve">■ 박스</t>
  </si>
  <si>
    <t xml:space="preserve">박스</t>
  </si>
  <si>
    <t xml:space="preserve">개봉 홀드</t>
  </si>
  <si>
    <r>
      <rPr>
        <sz val="10"/>
        <rFont val="Arial"/>
        <family val="0"/>
        <charset val="1"/>
      </rPr>
      <t xml:space="preserve">1.5</t>
    </r>
    <r>
      <rPr>
        <sz val="10"/>
        <rFont val="Noto Sans CJK SC"/>
        <family val="2"/>
      </rPr>
      <t xml:space="preserve">초</t>
    </r>
  </si>
  <si>
    <t xml:space="preserve">담기</t>
  </si>
  <si>
    <r>
      <rPr>
        <sz val="10"/>
        <rFont val="Arial"/>
        <family val="0"/>
        <charset val="1"/>
      </rPr>
      <t xml:space="preserve">0.2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개</t>
    </r>
  </si>
  <si>
    <t xml:space="preserve">가려진 슬롯 공개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</si>
  <si>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초 간격</t>
    </r>
  </si>
  <si>
    <t xml:space="preserve">하나씩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</si>
  <si>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등급 발광</t>
    </r>
  </si>
  <si>
    <r>
      <rPr>
        <sz val="10"/>
        <rFont val="Noto Sans CJK SC"/>
        <family val="2"/>
      </rPr>
      <t xml:space="preserve">안개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칸 너머</t>
    </r>
  </si>
  <si>
    <r>
      <rPr>
        <sz val="10"/>
        <rFont val="Noto Sans CJK SC"/>
        <family val="2"/>
      </rPr>
      <t xml:space="preserve">가짜 상자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도깨비불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도 이 외형을 위장할 수 있다</t>
    </r>
  </si>
  <si>
    <t xml:space="preserve">■ 견제</t>
  </si>
  <si>
    <t xml:space="preserve">견제</t>
  </si>
  <si>
    <t xml:space="preserve">대시 쿨다운</t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</si>
  <si>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초</t>
    </r>
  </si>
  <si>
    <t xml:space="preserve">대시 넉백</t>
  </si>
  <si>
    <r>
      <rPr>
        <sz val="10"/>
        <rFont val="Arial"/>
        <family val="0"/>
        <charset val="1"/>
      </rPr>
      <t xml:space="preserve">1.5</t>
    </r>
    <r>
      <rPr>
        <sz val="10"/>
        <rFont val="Noto Sans CJK SC"/>
        <family val="2"/>
      </rPr>
      <t xml:space="preserve">타일</t>
    </r>
  </si>
  <si>
    <r>
      <rPr>
        <sz val="10"/>
        <rFont val="Noto Sans CJK SC"/>
        <family val="2"/>
      </rPr>
      <t xml:space="preserve">낮의 밀림</t>
    </r>
    <r>
      <rPr>
        <sz val="10"/>
        <rFont val="Arial"/>
        <family val="0"/>
        <charset val="1"/>
      </rPr>
      <t xml:space="preserve">(0.4</t>
    </r>
    <r>
      <rPr>
        <sz val="10"/>
        <rFont val="Noto Sans CJK SC"/>
        <family val="2"/>
      </rPr>
      <t xml:space="preserve">타일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쿨 </t>
    </r>
    <r>
      <rPr>
        <sz val="10"/>
        <rFont val="Arial"/>
        <family val="0"/>
        <charset val="1"/>
      </rPr>
      <t xml:space="preserve">1.2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과는 크기가 다르다</t>
    </r>
  </si>
  <si>
    <r>
      <rPr>
        <sz val="10"/>
        <rFont val="Arial"/>
        <family val="0"/>
        <charset val="1"/>
      </rPr>
      <t xml:space="preserve">80% </t>
    </r>
    <r>
      <rPr>
        <sz val="10"/>
        <rFont val="Noto Sans CJK SC"/>
        <family val="2"/>
      </rPr>
      <t xml:space="preserve">이상 피격 낙하량</t>
    </r>
  </si>
  <si>
    <r>
      <rPr>
        <sz val="10"/>
        <rFont val="Noto Sans CJK SC"/>
        <family val="2"/>
      </rPr>
      <t xml:space="preserve">총 적재의 </t>
    </r>
    <r>
      <rPr>
        <sz val="10"/>
        <rFont val="Arial"/>
        <family val="0"/>
        <charset val="1"/>
      </rPr>
      <t xml:space="preserve">30%</t>
    </r>
  </si>
  <si>
    <r>
      <rPr>
        <sz val="10"/>
        <rFont val="Noto Sans CJK SC"/>
        <family val="2"/>
      </rPr>
      <t xml:space="preserve">대시 제한선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낙하선</t>
    </r>
  </si>
  <si>
    <t xml:space="preserve">70% / 80%</t>
  </si>
  <si>
    <t xml:space="preserve">견제 수단을 먼저 잃고 그다음에 표적이 된다</t>
  </si>
  <si>
    <t xml:space="preserve">■ 가방</t>
  </si>
  <si>
    <t xml:space="preserve">가방</t>
  </si>
  <si>
    <t xml:space="preserve">회수 홀드</t>
  </si>
  <si>
    <t xml:space="preserve">이동하면 취소</t>
  </si>
  <si>
    <t xml:space="preserve">소각 홀드</t>
  </si>
  <si>
    <t xml:space="preserve">■ 귀환</t>
  </si>
  <si>
    <t xml:space="preserve">귀환</t>
  </si>
  <si>
    <t xml:space="preserve">실패 시 소실</t>
  </si>
  <si>
    <t xml:space="preserve">50%</t>
  </si>
  <si>
    <r>
      <rPr>
        <sz val="10"/>
        <rFont val="Noto Sans CJK SC"/>
        <family val="2"/>
      </rPr>
      <t xml:space="preserve">소환 위치 밖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가방 소지</t>
    </r>
  </si>
  <si>
    <t xml:space="preserve">캐릭터 스킬과 보석</t>
  </si>
  <si>
    <r>
      <rPr>
        <i val="true"/>
        <sz val="9"/>
        <color rgb="FF6B5E6D"/>
        <rFont val="Noto Sans CJK SC"/>
        <family val="2"/>
      </rPr>
      <t xml:space="preserve">기획서 </t>
    </r>
    <r>
      <rPr>
        <i val="true"/>
        <sz val="9"/>
        <color rgb="FF6B5E6D"/>
        <rFont val="Arial"/>
        <family val="0"/>
        <charset val="1"/>
      </rPr>
      <t xml:space="preserve">8.2 · 9.1.3 · 9.2 · </t>
    </r>
    <r>
      <rPr>
        <i val="true"/>
        <sz val="9"/>
        <color rgb="FF6B5E6D"/>
        <rFont val="Noto Sans CJK SC"/>
        <family val="2"/>
      </rPr>
      <t xml:space="preserve">보석 「각인」이 모든 쿨타임에 </t>
    </r>
    <r>
      <rPr>
        <i val="true"/>
        <sz val="9"/>
        <color rgb="FF6B5E6D"/>
        <rFont val="Arial"/>
        <family val="0"/>
        <charset val="1"/>
      </rPr>
      <t xml:space="preserve">-25%</t>
    </r>
    <r>
      <rPr>
        <i val="true"/>
        <sz val="9"/>
        <color rgb="FF6B5E6D"/>
        <rFont val="Noto Sans CJK SC"/>
        <family val="2"/>
      </rPr>
      <t xml:space="preserve">를 건다</t>
    </r>
  </si>
  <si>
    <t xml:space="preserve">이름</t>
  </si>
  <si>
    <t xml:space="preserve">컨셉</t>
  </si>
  <si>
    <t xml:space="preserve">쿨타임</t>
  </si>
  <si>
    <r>
      <rPr>
        <b val="true"/>
        <sz val="10"/>
        <color rgb="FFFFFFFF"/>
        <rFont val="Noto Sans CJK SC"/>
        <family val="2"/>
      </rPr>
      <t xml:space="preserve">지속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범위</t>
    </r>
  </si>
  <si>
    <r>
      <rPr>
        <b val="true"/>
        <sz val="10"/>
        <color rgb="FF3D2B45"/>
        <rFont val="Noto Sans CJK SC"/>
        <family val="2"/>
      </rPr>
      <t xml:space="preserve">■ 낮 액티브 </t>
    </r>
    <r>
      <rPr>
        <b val="true"/>
        <sz val="10"/>
        <color rgb="FF3D2B45"/>
        <rFont val="Arial"/>
        <family val="0"/>
        <charset val="1"/>
      </rPr>
      <t xml:space="preserve">5</t>
    </r>
    <r>
      <rPr>
        <b val="true"/>
        <sz val="10"/>
        <color rgb="FF3D2B45"/>
        <rFont val="Noto Sans CJK SC"/>
        <family val="2"/>
      </rPr>
      <t xml:space="preserve">종</t>
    </r>
  </si>
  <si>
    <t xml:space="preserve">낮</t>
  </si>
  <si>
    <t xml:space="preserve">지름길</t>
  </si>
  <si>
    <t xml:space="preserve">하운드</t>
  </si>
  <si>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초</t>
    </r>
  </si>
  <si>
    <r>
      <rPr>
        <sz val="10"/>
        <rFont val="Arial"/>
        <family val="0"/>
        <charset val="1"/>
      </rPr>
      <t xml:space="preserve">2.5</t>
    </r>
    <r>
      <rPr>
        <sz val="10"/>
        <rFont val="Noto Sans CJK SC"/>
        <family val="2"/>
      </rPr>
      <t xml:space="preserve">초</t>
    </r>
  </si>
  <si>
    <r>
      <rPr>
        <sz val="10"/>
        <rFont val="Noto Sans CJK SC"/>
        <family val="2"/>
      </rPr>
      <t xml:space="preserve">충돌을 무시하고 통과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아무것도 앞당기지 않아 가장 안전한 축</t>
    </r>
  </si>
  <si>
    <t xml:space="preserve">불붙이기</t>
  </si>
  <si>
    <t xml:space="preserve">도깨비</t>
  </si>
  <si>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초</t>
    </r>
  </si>
  <si>
    <r>
      <rPr>
        <sz val="10"/>
        <rFont val="Noto Sans CJK SC"/>
        <family val="2"/>
      </rPr>
      <t xml:space="preserve">남은 조리 시간 단축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대신 설비가 잠깐 달아올라 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팀원도 못 쓴다</t>
    </r>
  </si>
  <si>
    <t xml:space="preserve">정제</t>
  </si>
  <si>
    <t xml:space="preserve">연금술사</t>
  </si>
  <si>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초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</si>
  <si>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회성</t>
    </r>
  </si>
  <si>
    <r>
      <rPr>
        <sz val="10"/>
        <rFont val="Noto Sans CJK SC"/>
        <family val="2"/>
      </rPr>
      <t xml:space="preserve">다음 한 잔 </t>
    </r>
    <r>
      <rPr>
        <sz val="10"/>
        <rFont val="Arial"/>
        <family val="0"/>
        <charset val="1"/>
      </rPr>
      <t xml:space="preserve">Perfect </t>
    </r>
    <r>
      <rPr>
        <sz val="10"/>
        <rFont val="Noto Sans CJK SC"/>
        <family val="2"/>
      </rPr>
      <t xml:space="preserve">확정 </t>
    </r>
    <r>
      <rPr>
        <sz val="10"/>
        <rFont val="Arial"/>
        <family val="0"/>
        <charset val="1"/>
      </rPr>
      <t xml:space="preserve">(×1.3)</t>
    </r>
  </si>
  <si>
    <t xml:space="preserve">활공</t>
  </si>
  <si>
    <t xml:space="preserve">박쥐</t>
  </si>
  <si>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초</t>
    </r>
  </si>
  <si>
    <r>
      <rPr>
        <sz val="10"/>
        <rFont val="Noto Sans CJK SC"/>
        <family val="2"/>
      </rPr>
      <t xml:space="preserve">이동속도 상승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선착순의 공평함을 건드리는 유일한 스킬 — 가장 좁게</t>
    </r>
  </si>
  <si>
    <t xml:space="preserve">삼키기</t>
  </si>
  <si>
    <t xml:space="preserve">미믹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</si>
  <si>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</si>
  <si>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세척을 그 자리에서 </t>
    </r>
    <r>
      <rPr>
        <sz val="10"/>
        <rFont val="Arial"/>
        <family val="0"/>
        <charset val="1"/>
      </rPr>
      <t xml:space="preserve">70% </t>
    </r>
    <r>
      <rPr>
        <sz val="10"/>
        <rFont val="Noto Sans CJK SC"/>
        <family val="2"/>
      </rPr>
      <t xml:space="preserve">진행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개수대 점유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초 → </t>
    </r>
    <r>
      <rPr>
        <sz val="10"/>
        <rFont val="Arial"/>
        <family val="0"/>
        <charset val="1"/>
      </rPr>
      <t xml:space="preserve">0.9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광장 왕복은 유지</t>
    </r>
  </si>
  <si>
    <r>
      <rPr>
        <b val="true"/>
        <sz val="10"/>
        <color rgb="FF3D2B45"/>
        <rFont val="Noto Sans CJK SC"/>
        <family val="2"/>
      </rPr>
      <t xml:space="preserve">■ 밤 액티브 </t>
    </r>
    <r>
      <rPr>
        <b val="true"/>
        <sz val="10"/>
        <color rgb="FF3D2B45"/>
        <rFont val="Arial"/>
        <family val="0"/>
        <charset val="1"/>
      </rPr>
      <t xml:space="preserve">5</t>
    </r>
    <r>
      <rPr>
        <b val="true"/>
        <sz val="10"/>
        <color rgb="FF3D2B45"/>
        <rFont val="Noto Sans CJK SC"/>
        <family val="2"/>
      </rPr>
      <t xml:space="preserve">종</t>
    </r>
  </si>
  <si>
    <t xml:space="preserve">밤</t>
  </si>
  <si>
    <t xml:space="preserve">추적</t>
  </si>
  <si>
    <r>
      <rPr>
        <sz val="10"/>
        <rFont val="Noto Sans CJK SC"/>
        <family val="2"/>
      </rPr>
      <t xml:space="preserve">반경 </t>
    </r>
    <r>
      <rPr>
        <sz val="10"/>
        <rFont val="Arial"/>
        <family val="0"/>
        <charset val="1"/>
      </rPr>
      <t xml:space="preserve">20m · </t>
    </r>
    <r>
      <rPr>
        <sz val="10"/>
        <rFont val="Noto Sans CJK SC"/>
        <family val="2"/>
      </rPr>
      <t xml:space="preserve">노출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초</t>
    </r>
  </si>
  <si>
    <r>
      <rPr>
        <sz val="10"/>
        <rFont val="Noto Sans CJK SC"/>
        <family val="2"/>
      </rPr>
      <t xml:space="preserve">숨겨진 가방 탐지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본인에게만 보인다</t>
    </r>
  </si>
  <si>
    <t xml:space="preserve">감별</t>
  </si>
  <si>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초</t>
    </r>
  </si>
  <si>
    <r>
      <rPr>
        <sz val="10"/>
        <rFont val="Noto Sans CJK SC"/>
        <family val="2"/>
      </rPr>
      <t xml:space="preserve">반경 </t>
    </r>
    <r>
      <rPr>
        <sz val="10"/>
        <rFont val="Arial"/>
        <family val="0"/>
        <charset val="1"/>
      </rPr>
      <t xml:space="preserve">8m</t>
    </r>
  </si>
  <si>
    <r>
      <rPr>
        <sz val="10"/>
        <rFont val="Noto Sans CJK SC"/>
        <family val="2"/>
      </rPr>
      <t xml:space="preserve">가려진 슬롯 즉시 공개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공개는 영구히 남는다</t>
    </r>
  </si>
  <si>
    <t xml:space="preserve">도깨비불</t>
  </si>
  <si>
    <r>
      <rPr>
        <sz val="10"/>
        <rFont val="Noto Sans CJK SC"/>
        <family val="2"/>
      </rPr>
      <t xml:space="preserve">기절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초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표식 </t>
    </r>
    <r>
      <rPr>
        <sz val="10"/>
        <rFont val="Arial"/>
        <family val="0"/>
        <charset val="1"/>
      </rPr>
      <t xml:space="preserve">5m</t>
    </r>
  </si>
  <si>
    <r>
      <rPr>
        <sz val="10"/>
        <rFont val="Noto Sans CJK SC"/>
        <family val="2"/>
      </rPr>
      <t xml:space="preserve">가짜 상자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등급 위장 가능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설치 팀에만 표식</t>
    </r>
  </si>
  <si>
    <t xml:space="preserve">메아리</t>
  </si>
  <si>
    <r>
      <rPr>
        <sz val="10"/>
        <rFont val="Noto Sans CJK SC"/>
        <family val="2"/>
      </rPr>
      <t xml:space="preserve">반경 </t>
    </r>
    <r>
      <rPr>
        <sz val="10"/>
        <rFont val="Arial"/>
        <family val="0"/>
        <charset val="1"/>
      </rPr>
      <t xml:space="preserve">7m</t>
    </r>
  </si>
  <si>
    <r>
      <rPr>
        <sz val="10"/>
        <rFont val="Noto Sans CJK SC"/>
        <family val="2"/>
      </rPr>
      <t xml:space="preserve">안개 제거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전원이 공유하므로 대가가 있는 쪽이 좁아야 한다</t>
    </r>
  </si>
  <si>
    <t xml:space="preserve">환각</t>
  </si>
  <si>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초</t>
    </r>
  </si>
  <si>
    <r>
      <rPr>
        <sz val="10"/>
        <rFont val="Noto Sans CJK SC"/>
        <family val="2"/>
      </rPr>
      <t xml:space="preserve">가짜 가방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기절 없음 — 「추적」의 카운터가 본래 역할</t>
    </r>
  </si>
  <si>
    <t xml:space="preserve">보석</t>
  </si>
  <si>
    <t xml:space="preserve">효과</t>
  </si>
  <si>
    <t xml:space="preserve">수치</t>
  </si>
  <si>
    <t xml:space="preserve">사이클 기여</t>
  </si>
  <si>
    <t xml:space="preserve">불씨</t>
  </si>
  <si>
    <t xml:space="preserve">설비 조리 시간</t>
  </si>
  <si>
    <t xml:space="preserve">-30%</t>
  </si>
  <si>
    <t xml:space="preserve">-4.6%</t>
  </si>
  <si>
    <r>
      <rPr>
        <sz val="10"/>
        <rFont val="Noto Sans CJK SC"/>
        <family val="2"/>
      </rPr>
      <t xml:space="preserve">커피 </t>
    </r>
    <r>
      <rPr>
        <sz val="10"/>
        <rFont val="Arial"/>
        <family val="0"/>
        <charset val="1"/>
      </rPr>
      <t xml:space="preserve">2→1.4</t>
    </r>
    <r>
      <rPr>
        <sz val="10"/>
        <rFont val="Noto Sans CJK SC"/>
        <family val="2"/>
      </rPr>
      <t xml:space="preserve">초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오븐 </t>
    </r>
    <r>
      <rPr>
        <sz val="10"/>
        <rFont val="Arial"/>
        <family val="0"/>
        <charset val="1"/>
      </rPr>
      <t xml:space="preserve">4→2.8</t>
    </r>
    <r>
      <rPr>
        <sz val="10"/>
        <rFont val="Noto Sans CJK SC"/>
        <family val="2"/>
      </rPr>
      <t xml:space="preserve">초</t>
    </r>
  </si>
  <si>
    <t xml:space="preserve">저울</t>
  </si>
  <si>
    <r>
      <rPr>
        <sz val="10"/>
        <rFont val="Arial"/>
        <family val="0"/>
        <charset val="1"/>
      </rPr>
      <t xml:space="preserve">Perfect </t>
    </r>
    <r>
      <rPr>
        <sz val="10"/>
        <rFont val="Noto Sans CJK SC"/>
        <family val="2"/>
      </rPr>
      <t xml:space="preserve">구간 폭</t>
    </r>
  </si>
  <si>
    <t xml:space="preserve">+40%</t>
  </si>
  <si>
    <r>
      <rPr>
        <sz val="10"/>
        <rFont val="Noto Sans CJK SC"/>
        <family val="2"/>
      </rPr>
      <t xml:space="preserve">매출 </t>
    </r>
    <r>
      <rPr>
        <sz val="10"/>
        <rFont val="Arial"/>
        <family val="0"/>
        <charset val="1"/>
      </rPr>
      <t xml:space="preserve">+5.7%</t>
    </r>
  </si>
  <si>
    <t xml:space="preserve">사실상 매출 버프</t>
  </si>
  <si>
    <t xml:space="preserve">바람</t>
  </si>
  <si>
    <t xml:space="preserve">이동 속도</t>
  </si>
  <si>
    <t xml:space="preserve">+12%</t>
  </si>
  <si>
    <t xml:space="preserve">-6.9%</t>
  </si>
  <si>
    <r>
      <rPr>
        <sz val="10"/>
        <rFont val="Noto Sans CJK SC"/>
        <family val="2"/>
      </rPr>
      <t xml:space="preserve">★ 가장 좁게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선착순의 공평함을 건드리는 유일한 축</t>
    </r>
  </si>
  <si>
    <t xml:space="preserve">거품</t>
  </si>
  <si>
    <t xml:space="preserve">개수대 세척 시간</t>
  </si>
  <si>
    <t xml:space="preserve">-35%</t>
  </si>
  <si>
    <t xml:space="preserve">-8.0%</t>
  </si>
  <si>
    <r>
      <rPr>
        <sz val="10"/>
        <rFont val="Arial"/>
        <family val="0"/>
        <charset val="1"/>
      </rPr>
      <t xml:space="preserve">3→1.95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바람보다 세게 나오는 것이 맞는 그림</t>
    </r>
  </si>
  <si>
    <t xml:space="preserve">각인</t>
  </si>
  <si>
    <r>
      <rPr>
        <sz val="10"/>
        <rFont val="Noto Sans CJK SC"/>
        <family val="2"/>
      </rPr>
      <t xml:space="preserve">낮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밤 액티브 쿨타임</t>
    </r>
  </si>
  <si>
    <t xml:space="preserve">-25%</t>
  </si>
  <si>
    <r>
      <rPr>
        <sz val="10"/>
        <rFont val="Noto Sans CJK SC"/>
        <family val="2"/>
      </rPr>
      <t xml:space="preserve"> 캐릭터가 종류를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보석이 정도를 정한다</t>
    </r>
  </si>
  <si>
    <t xml:space="preserve">찻잎</t>
  </si>
  <si>
    <t xml:space="preserve">손님 인내심</t>
  </si>
  <si>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장에서 빈 손님 축을 메운다</t>
    </r>
  </si>
  <si>
    <r>
      <rPr>
        <i val="true"/>
        <sz val="9"/>
        <color rgb="FF6B5E6D"/>
        <rFont val="Noto Sans CJK SC"/>
        <family val="2"/>
      </rPr>
      <t xml:space="preserve">불씨</t>
    </r>
    <r>
      <rPr>
        <i val="true"/>
        <sz val="9"/>
        <color rgb="FF6B5E6D"/>
        <rFont val="Arial"/>
        <family val="0"/>
        <charset val="1"/>
      </rPr>
      <t xml:space="preserve">·</t>
    </r>
    <r>
      <rPr>
        <i val="true"/>
        <sz val="9"/>
        <color rgb="FF6B5E6D"/>
        <rFont val="Noto Sans CJK SC"/>
        <family val="2"/>
      </rPr>
      <t xml:space="preserve">바람</t>
    </r>
    <r>
      <rPr>
        <i val="true"/>
        <sz val="9"/>
        <color rgb="FF6B5E6D"/>
        <rFont val="Arial"/>
        <family val="0"/>
        <charset val="1"/>
      </rPr>
      <t xml:space="preserve">·</t>
    </r>
    <r>
      <rPr>
        <i val="true"/>
        <sz val="9"/>
        <color rgb="FF6B5E6D"/>
        <rFont val="Noto Sans CJK SC"/>
        <family val="2"/>
      </rPr>
      <t xml:space="preserve">거품을 다 걸면 사이클이 약 </t>
    </r>
    <r>
      <rPr>
        <i val="true"/>
        <sz val="9"/>
        <color rgb="FF6B5E6D"/>
        <rFont val="Arial"/>
        <family val="0"/>
        <charset val="1"/>
      </rPr>
      <t xml:space="preserve">20% </t>
    </r>
    <r>
      <rPr>
        <i val="true"/>
        <sz val="9"/>
        <color rgb="FF6B5E6D"/>
        <rFont val="Noto Sans CJK SC"/>
        <family val="2"/>
      </rPr>
      <t xml:space="preserve">줄어 처리량 </t>
    </r>
    <r>
      <rPr>
        <i val="true"/>
        <sz val="9"/>
        <color rgb="FF6B5E6D"/>
        <rFont val="Arial"/>
        <family val="0"/>
        <charset val="1"/>
      </rPr>
      <t xml:space="preserve">+24%, </t>
    </r>
    <r>
      <rPr>
        <i val="true"/>
        <sz val="9"/>
        <color rgb="FF6B5E6D"/>
        <rFont val="Noto Sans CJK SC"/>
        <family val="2"/>
      </rPr>
      <t xml:space="preserve">저울까지 합치면 매출 기준 약 </t>
    </r>
    <r>
      <rPr>
        <i val="true"/>
        <sz val="9"/>
        <color rgb="FF6B5E6D"/>
        <rFont val="Arial"/>
        <family val="0"/>
        <charset val="1"/>
      </rPr>
      <t xml:space="preserve">+30%.</t>
    </r>
  </si>
  <si>
    <r>
      <rPr>
        <i val="true"/>
        <sz val="9"/>
        <color rgb="FF6B5E6D"/>
        <rFont val="Noto Sans CJK SC"/>
        <family val="2"/>
      </rPr>
      <t xml:space="preserve">지속 </t>
    </r>
    <r>
      <rPr>
        <i val="true"/>
        <sz val="9"/>
        <color rgb="FF6B5E6D"/>
        <rFont val="Arial"/>
        <family val="0"/>
        <charset val="1"/>
      </rPr>
      <t xml:space="preserve">3</t>
    </r>
    <r>
      <rPr>
        <i val="true"/>
        <sz val="9"/>
        <color rgb="FF6B5E6D"/>
        <rFont val="Noto Sans CJK SC"/>
        <family val="2"/>
      </rPr>
      <t xml:space="preserve">턴</t>
    </r>
    <r>
      <rPr>
        <i val="true"/>
        <sz val="9"/>
        <color rgb="FF6B5E6D"/>
        <rFont val="Arial"/>
        <family val="0"/>
        <charset val="1"/>
      </rPr>
      <t xml:space="preserve">(</t>
    </r>
    <r>
      <rPr>
        <i val="true"/>
        <sz val="9"/>
        <color rgb="FF6B5E6D"/>
        <rFont val="Noto Sans CJK SC"/>
        <family val="2"/>
      </rPr>
      <t xml:space="preserve">낮 </t>
    </r>
    <r>
      <rPr>
        <i val="true"/>
        <sz val="9"/>
        <color rgb="FF6B5E6D"/>
        <rFont val="Arial"/>
        <family val="0"/>
        <charset val="1"/>
      </rPr>
      <t xml:space="preserve">3</t>
    </r>
    <r>
      <rPr>
        <i val="true"/>
        <sz val="9"/>
        <color rgb="FF6B5E6D"/>
        <rFont val="Noto Sans CJK SC"/>
        <family val="2"/>
      </rPr>
      <t xml:space="preserve">회</t>
    </r>
    <r>
      <rPr>
        <i val="true"/>
        <sz val="9"/>
        <color rgb="FF6B5E6D"/>
        <rFont val="Arial"/>
        <family val="0"/>
        <charset val="1"/>
      </rPr>
      <t xml:space="preserve">) · </t>
    </r>
    <r>
      <rPr>
        <i val="true"/>
        <sz val="9"/>
        <color rgb="FF6B5E6D"/>
        <rFont val="Noto Sans CJK SC"/>
        <family val="2"/>
      </rPr>
      <t xml:space="preserve">같은 보석은 턴 수만 갱신 </t>
    </r>
    <r>
      <rPr>
        <i val="true"/>
        <sz val="9"/>
        <color rgb="FF6B5E6D"/>
        <rFont val="Arial"/>
        <family val="0"/>
        <charset val="1"/>
      </rPr>
      <t xml:space="preserve">· </t>
    </r>
    <r>
      <rPr>
        <i val="true"/>
        <sz val="9"/>
        <color rgb="FF6B5E6D"/>
        <rFont val="Noto Sans CJK SC"/>
        <family val="2"/>
      </rPr>
      <t xml:space="preserve">동시 적용 상한 없음 </t>
    </r>
    <r>
      <rPr>
        <i val="true"/>
        <sz val="9"/>
        <color rgb="FF6B5E6D"/>
        <rFont val="Arial"/>
        <family val="0"/>
        <charset val="1"/>
      </rPr>
      <t xml:space="preserve">(</t>
    </r>
    <r>
      <rPr>
        <i val="true"/>
        <sz val="9"/>
        <color rgb="FF6B5E6D"/>
        <rFont val="Noto Sans CJK SC"/>
        <family val="2"/>
      </rPr>
      <t xml:space="preserve">기획서 </t>
    </r>
    <r>
      <rPr>
        <i val="true"/>
        <sz val="9"/>
        <color rgb="FF6B5E6D"/>
        <rFont val="Arial"/>
        <family val="0"/>
        <charset val="1"/>
      </rPr>
      <t xml:space="preserve">8.1).</t>
    </r>
  </si>
  <si>
    <t xml:space="preserve">미납 페널티와 조작</t>
  </si>
  <si>
    <r>
      <rPr>
        <i val="true"/>
        <sz val="9"/>
        <color rgb="FF6B5E6D"/>
        <rFont val="Noto Sans CJK SC"/>
        <family val="2"/>
      </rPr>
      <t xml:space="preserve">기획서 </t>
    </r>
    <r>
      <rPr>
        <i val="true"/>
        <sz val="9"/>
        <color rgb="FF6B5E6D"/>
        <rFont val="Arial"/>
        <family val="0"/>
        <charset val="1"/>
      </rPr>
      <t xml:space="preserve">3.2 · 3.3 · 5.4.2 · 11</t>
    </r>
    <r>
      <rPr>
        <i val="true"/>
        <sz val="9"/>
        <color rgb="FF6B5E6D"/>
        <rFont val="Noto Sans CJK SC"/>
        <family val="2"/>
      </rPr>
      <t xml:space="preserve">장</t>
    </r>
  </si>
  <si>
    <t xml:space="preserve">누적 미납</t>
  </si>
  <si>
    <t xml:space="preserve">제작 속도</t>
  </si>
  <si>
    <t xml:space="preserve">시야 반경</t>
  </si>
  <si>
    <t xml:space="preserve">박스 개봉</t>
  </si>
  <si>
    <t xml:space="preserve">기타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</si>
  <si>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회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</si>
  <si>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회 연속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</si>
  <si>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회 연속</t>
    </r>
  </si>
  <si>
    <t xml:space="preserve">무게 감속 구간이 한 단계 불리하게</t>
  </si>
  <si>
    <r>
      <rPr>
        <i val="true"/>
        <sz val="9"/>
        <color rgb="FF6B5E6D"/>
        <rFont val="Noto Sans CJK SC"/>
        <family val="2"/>
      </rPr>
      <t xml:space="preserve">페널티는 설비가 아니라 그 설비를 쓰는 우리 팀에 붙는다 — 보석 축의 반대 방향이라 새로 만들 시스템이 없다</t>
    </r>
    <r>
      <rPr>
        <i val="true"/>
        <sz val="9"/>
        <color rgb="FF6B5E6D"/>
        <rFont val="Arial"/>
        <family val="0"/>
        <charset val="1"/>
      </rPr>
      <t xml:space="preserve">.</t>
    </r>
  </si>
  <si>
    <r>
      <rPr>
        <i val="true"/>
        <sz val="9"/>
        <color rgb="FF6B5E6D"/>
        <rFont val="Noto Sans CJK SC"/>
        <family val="2"/>
      </rPr>
      <t xml:space="preserve">설비를 건드리는 페널티는 두지 않는다</t>
    </r>
    <r>
      <rPr>
        <i val="true"/>
        <sz val="9"/>
        <color rgb="FF6B5E6D"/>
        <rFont val="Arial"/>
        <family val="0"/>
        <charset val="1"/>
      </rPr>
      <t xml:space="preserve">. </t>
    </r>
    <r>
      <rPr>
        <i val="true"/>
        <sz val="9"/>
        <color rgb="FF6B5E6D"/>
        <rFont val="Noto Sans CJK SC"/>
        <family val="2"/>
      </rPr>
      <t xml:space="preserve">공용이라 손해가 남에게 더 크게 가고</t>
    </r>
    <r>
      <rPr>
        <i val="true"/>
        <sz val="9"/>
        <color rgb="FF6B5E6D"/>
        <rFont val="Arial"/>
        <family val="0"/>
        <charset val="1"/>
      </rPr>
      <t xml:space="preserve">, </t>
    </r>
    <r>
      <rPr>
        <i val="true"/>
        <sz val="9"/>
        <color rgb="FF6B5E6D"/>
        <rFont val="Noto Sans CJK SC"/>
        <family val="2"/>
      </rPr>
      <t xml:space="preserve">둘이 미납이면 판이 멈춘다</t>
    </r>
    <r>
      <rPr>
        <i val="true"/>
        <sz val="9"/>
        <color rgb="FF6B5E6D"/>
        <rFont val="Arial"/>
        <family val="0"/>
        <charset val="1"/>
      </rPr>
      <t xml:space="preserve">. </t>
    </r>
    <r>
      <rPr>
        <i val="true"/>
        <sz val="9"/>
        <color rgb="FF6B5E6D"/>
        <rFont val="Noto Sans CJK SC"/>
        <family val="2"/>
      </rPr>
      <t xml:space="preserve">벌이 아니라 무기가 된다</t>
    </r>
    <r>
      <rPr>
        <i val="true"/>
        <sz val="9"/>
        <color rgb="FF6B5E6D"/>
        <rFont val="Arial"/>
        <family val="0"/>
        <charset val="1"/>
      </rPr>
      <t xml:space="preserve">.</t>
    </r>
  </si>
  <si>
    <r>
      <rPr>
        <i val="true"/>
        <sz val="9"/>
        <color rgb="FF6B5E6D"/>
        <rFont val="Noto Sans CJK SC"/>
        <family val="2"/>
      </rPr>
      <t xml:space="preserve">모든 페널티는 </t>
    </r>
    <r>
      <rPr>
        <i val="true"/>
        <sz val="9"/>
        <color rgb="FF6B5E6D"/>
        <rFont val="Arial"/>
        <family val="0"/>
        <charset val="1"/>
      </rPr>
      <t xml:space="preserve">1</t>
    </r>
    <r>
      <rPr>
        <i val="true"/>
        <sz val="9"/>
        <color rgb="FF6B5E6D"/>
        <rFont val="Noto Sans CJK SC"/>
        <family val="2"/>
      </rPr>
      <t xml:space="preserve">일</t>
    </r>
    <r>
      <rPr>
        <i val="true"/>
        <sz val="9"/>
        <color rgb="FF6B5E6D"/>
        <rFont val="Arial"/>
        <family val="0"/>
        <charset val="1"/>
      </rPr>
      <t xml:space="preserve">/1</t>
    </r>
    <r>
      <rPr>
        <i val="true"/>
        <sz val="9"/>
        <color rgb="FF6B5E6D"/>
        <rFont val="Noto Sans CJK SC"/>
        <family val="2"/>
      </rPr>
      <t xml:space="preserve">밤 한정</t>
    </r>
    <r>
      <rPr>
        <i val="true"/>
        <sz val="9"/>
        <color rgb="FF6B5E6D"/>
        <rFont val="Arial"/>
        <family val="0"/>
        <charset val="1"/>
      </rPr>
      <t xml:space="preserve">. </t>
    </r>
    <r>
      <rPr>
        <i val="true"/>
        <sz val="9"/>
        <color rgb="FF6B5E6D"/>
        <rFont val="Noto Sans CJK SC"/>
        <family val="2"/>
      </rPr>
      <t xml:space="preserve">다음 날 임대료를 내면 해제된다</t>
    </r>
    <r>
      <rPr>
        <i val="true"/>
        <sz val="9"/>
        <color rgb="FF6B5E6D"/>
        <rFont val="Arial"/>
        <family val="0"/>
        <charset val="1"/>
      </rPr>
      <t xml:space="preserve">. 4</t>
    </r>
    <r>
      <rPr>
        <i val="true"/>
        <sz val="9"/>
        <color rgb="FF6B5E6D"/>
        <rFont val="Noto Sans CJK SC"/>
        <family val="2"/>
      </rPr>
      <t xml:space="preserve">회 이상 연속은 </t>
    </r>
    <r>
      <rPr>
        <i val="true"/>
        <sz val="9"/>
        <color rgb="FF6B5E6D"/>
        <rFont val="Arial"/>
        <family val="0"/>
        <charset val="1"/>
      </rPr>
      <t xml:space="preserve">3</t>
    </r>
    <r>
      <rPr>
        <i val="true"/>
        <sz val="9"/>
        <color rgb="FF6B5E6D"/>
        <rFont val="Noto Sans CJK SC"/>
        <family val="2"/>
      </rPr>
      <t xml:space="preserve">회와 동일</t>
    </r>
    <r>
      <rPr>
        <i val="true"/>
        <sz val="9"/>
        <color rgb="FF6B5E6D"/>
        <rFont val="Arial"/>
        <family val="0"/>
        <charset val="1"/>
      </rPr>
      <t xml:space="preserve">.</t>
    </r>
  </si>
  <si>
    <t xml:space="preserve">■ 낮의 충돌</t>
  </si>
  <si>
    <t xml:space="preserve">밀리는 거리</t>
  </si>
  <si>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타일</t>
    </r>
  </si>
  <si>
    <t xml:space="preserve">밀림 쿨타임</t>
  </si>
  <si>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초 — 연달아 밀려 끌려다니지 않게</t>
    </r>
  </si>
  <si>
    <t xml:space="preserve">비교</t>
  </si>
  <si>
    <r>
      <rPr>
        <sz val="11"/>
        <color theme="1"/>
        <rFont val="Noto Sans CJK SC"/>
        <family val="2"/>
      </rPr>
      <t xml:space="preserve">밤의 대시 넉백은 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타일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쿨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초</t>
    </r>
  </si>
  <si>
    <t xml:space="preserve">■ 조작</t>
  </si>
  <si>
    <r>
      <rPr>
        <b val="true"/>
        <sz val="10"/>
        <rFont val="Arial"/>
        <family val="0"/>
        <charset val="1"/>
      </rPr>
      <t xml:space="preserve">WASD / </t>
    </r>
    <r>
      <rPr>
        <b val="true"/>
        <sz val="10"/>
        <rFont val="Noto Sans CJK SC"/>
        <family val="2"/>
      </rPr>
      <t xml:space="preserve">마우스</t>
    </r>
  </si>
  <si>
    <r>
      <rPr>
        <sz val="11"/>
        <color theme="1"/>
        <rFont val="Noto Sans CJK SC"/>
        <family val="2"/>
      </rPr>
      <t xml:space="preserve">이동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시점</t>
    </r>
  </si>
  <si>
    <t xml:space="preserve">F</t>
  </si>
  <si>
    <r>
      <rPr>
        <sz val="11"/>
        <color theme="1"/>
        <rFont val="Noto Sans CJK SC"/>
        <family val="2"/>
      </rPr>
      <t xml:space="preserve">맥락 상호작용 — 담기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투입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게이지 정지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건네기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서빙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세척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홀드</t>
    </r>
    <r>
      <rPr>
        <sz val="11"/>
        <color theme="1"/>
        <rFont val="Calibri"/>
        <family val="2"/>
        <charset val="1"/>
      </rPr>
      <t xml:space="preserve">) / </t>
    </r>
    <r>
      <rPr>
        <sz val="11"/>
        <color theme="1"/>
        <rFont val="Noto Sans CJK SC"/>
        <family val="2"/>
      </rPr>
      <t xml:space="preserve">박스 개봉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홀드</t>
    </r>
    <r>
      <rPr>
        <sz val="11"/>
        <color theme="1"/>
        <rFont val="Calibri"/>
        <family val="2"/>
        <charset val="1"/>
      </rPr>
      <t xml:space="preserve">)</t>
    </r>
  </si>
  <si>
    <t xml:space="preserve">Space</t>
  </si>
  <si>
    <r>
      <rPr>
        <sz val="11"/>
        <color theme="1"/>
        <rFont val="Noto Sans CJK SC"/>
        <family val="2"/>
      </rPr>
      <t xml:space="preserve">짧은 대시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낮에는 견제 효과 없음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밤에는 견제</t>
    </r>
  </si>
  <si>
    <t xml:space="preserve">Q</t>
  </si>
  <si>
    <r>
      <rPr>
        <sz val="11"/>
        <color theme="1"/>
        <rFont val="Noto Sans CJK SC"/>
        <family val="2"/>
      </rPr>
      <t xml:space="preserve">낮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밤 액티브 발동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페이즈가 겹치지 않아 한 키를 나눠 쓴다</t>
    </r>
    <r>
      <rPr>
        <sz val="11"/>
        <color theme="1"/>
        <rFont val="Calibri"/>
        <family val="2"/>
        <charset val="1"/>
      </rPr>
      <t xml:space="preserve">)</t>
    </r>
  </si>
  <si>
    <t xml:space="preserve">B</t>
  </si>
  <si>
    <r>
      <rPr>
        <sz val="11"/>
        <color theme="1"/>
        <rFont val="Noto Sans CJK SC"/>
        <family val="2"/>
      </rPr>
      <t xml:space="preserve">쏟기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가방 버리기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전부 쏟아 임시 상자</t>
    </r>
    <r>
      <rPr>
        <sz val="11"/>
        <color theme="1"/>
        <rFont val="Calibri"/>
        <family val="2"/>
        <charset val="1"/>
      </rPr>
      <t xml:space="preserve">)</t>
    </r>
  </si>
  <si>
    <t xml:space="preserve">R</t>
  </si>
  <si>
    <r>
      <rPr>
        <sz val="11"/>
        <color theme="1"/>
        <rFont val="Noto Sans CJK SC"/>
        <family val="2"/>
      </rPr>
      <t xml:space="preserve">가방 묻기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홀드</t>
    </r>
    <r>
      <rPr>
        <sz val="11"/>
        <color theme="1"/>
        <rFont val="Calibri"/>
        <family val="2"/>
        <charset val="1"/>
      </rPr>
      <t xml:space="preserve">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</si>
</sst>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0.00"/>
    <numFmt numFmtId="168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D2B45"/>
      <name val="Arial"/>
      <family val="0"/>
      <charset val="1"/>
    </font>
    <font>
      <b val="true"/>
      <sz val="14"/>
      <color rgb="FF3D2B45"/>
      <name val="Noto Sans CJK SC"/>
      <family val="2"/>
    </font>
    <font>
      <i val="true"/>
      <sz val="9"/>
      <color rgb="FF6B5E6D"/>
      <name val="Noto Sans CJK SC"/>
      <family val="2"/>
    </font>
    <font>
      <i val="true"/>
      <sz val="9"/>
      <color rgb="FF6B5E6D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3D2B45"/>
      <name val="Noto Sans CJK SC"/>
      <family val="2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3D2B45"/>
      <name val="Arial"/>
      <family val="0"/>
      <charset val="1"/>
    </font>
    <font>
      <sz val="11"/>
      <color theme="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3D2B45"/>
        <bgColor rgb="FF333300"/>
      </patternFill>
    </fill>
    <fill>
      <patternFill patternType="solid">
        <fgColor rgb="FFEFE9F0"/>
        <bgColor rgb="FFFFF3D6"/>
      </patternFill>
    </fill>
    <fill>
      <patternFill patternType="solid">
        <fgColor rgb="FFFFF3D6"/>
        <bgColor rgb="FFEFE9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BFC9"/>
      </left>
      <right style="thin">
        <color rgb="FFC9BFC9"/>
      </right>
      <top style="thin">
        <color rgb="FFC9BFC9"/>
      </top>
      <bottom style="thin">
        <color rgb="FFC9BF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FC9"/>
      <rgbColor rgb="FF808080"/>
      <rgbColor rgb="FF9999FF"/>
      <rgbColor rgb="FF993366"/>
      <rgbColor rgb="FFFFF3D6"/>
      <rgbColor rgb="FFEFE9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6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2B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74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/>
      <c r="C5" s="5"/>
    </row>
    <row r="6" customFormat="false" ht="15" hidden="false" customHeight="false" outlineLevel="0" collapsed="false">
      <c r="A6" s="6" t="s">
        <v>6</v>
      </c>
      <c r="B6" s="7" t="s">
        <v>7</v>
      </c>
      <c r="C6" s="8" t="s">
        <v>8</v>
      </c>
    </row>
    <row r="7" customFormat="false" ht="15" hidden="false" customHeight="false" outlineLevel="0" collapsed="false">
      <c r="A7" s="6" t="s">
        <v>9</v>
      </c>
      <c r="B7" s="7" t="s">
        <v>10</v>
      </c>
      <c r="C7" s="8" t="s">
        <v>11</v>
      </c>
    </row>
    <row r="8" customFormat="false" ht="15" hidden="false" customHeight="false" outlineLevel="0" collapsed="false">
      <c r="A8" s="9" t="s">
        <v>12</v>
      </c>
      <c r="B8" s="7" t="s">
        <v>13</v>
      </c>
      <c r="C8" s="8" t="s">
        <v>14</v>
      </c>
    </row>
    <row r="9" customFormat="false" ht="15" hidden="false" customHeight="false" outlineLevel="0" collapsed="false">
      <c r="A9" s="6"/>
      <c r="B9" s="7"/>
      <c r="C9" s="7"/>
    </row>
    <row r="10" customFormat="false" ht="15" hidden="false" customHeight="false" outlineLevel="0" collapsed="false">
      <c r="A10" s="4" t="s">
        <v>15</v>
      </c>
      <c r="B10" s="5"/>
      <c r="C10" s="5"/>
    </row>
    <row r="11" customFormat="false" ht="15" hidden="false" customHeight="false" outlineLevel="0" collapsed="false">
      <c r="A11" s="9" t="s">
        <v>16</v>
      </c>
      <c r="B11" s="8" t="s">
        <v>17</v>
      </c>
      <c r="C11" s="7" t="s">
        <v>18</v>
      </c>
    </row>
    <row r="12" customFormat="false" ht="15" hidden="false" customHeight="false" outlineLevel="0" collapsed="false">
      <c r="A12" s="9" t="s">
        <v>19</v>
      </c>
      <c r="B12" s="8" t="s">
        <v>20</v>
      </c>
      <c r="C12" s="8" t="s">
        <v>21</v>
      </c>
    </row>
    <row r="13" customFormat="false" ht="15" hidden="false" customHeight="false" outlineLevel="0" collapsed="false">
      <c r="A13" s="9" t="s">
        <v>22</v>
      </c>
      <c r="B13" s="8" t="s">
        <v>23</v>
      </c>
      <c r="C13" s="7"/>
    </row>
    <row r="14" customFormat="false" ht="15" hidden="false" customHeight="false" outlineLevel="0" collapsed="false">
      <c r="A14" s="9" t="s">
        <v>24</v>
      </c>
      <c r="B14" s="7" t="s">
        <v>25</v>
      </c>
      <c r="C14" s="7"/>
    </row>
    <row r="15" customFormat="false" ht="15" hidden="false" customHeight="false" outlineLevel="0" collapsed="false">
      <c r="A15" s="9" t="s">
        <v>26</v>
      </c>
      <c r="B15" s="8" t="s">
        <v>27</v>
      </c>
      <c r="C15" s="7"/>
    </row>
    <row r="16" customFormat="false" ht="15" hidden="false" customHeight="false" outlineLevel="0" collapsed="false">
      <c r="A16" s="9" t="s">
        <v>28</v>
      </c>
      <c r="B16" s="8" t="s">
        <v>29</v>
      </c>
      <c r="C16" s="8" t="s">
        <v>30</v>
      </c>
    </row>
    <row r="17" customFormat="false" ht="15" hidden="false" customHeight="false" outlineLevel="0" collapsed="false">
      <c r="A17" s="9" t="s">
        <v>31</v>
      </c>
      <c r="B17" s="7" t="s">
        <v>32</v>
      </c>
      <c r="C17" s="7"/>
    </row>
    <row r="18" customFormat="false" ht="15" hidden="false" customHeight="false" outlineLevel="0" collapsed="false">
      <c r="A18" s="6"/>
      <c r="B18" s="7"/>
      <c r="C18" s="7"/>
    </row>
    <row r="19" customFormat="false" ht="15" hidden="false" customHeight="false" outlineLevel="0" collapsed="false">
      <c r="A19" s="4" t="s">
        <v>33</v>
      </c>
      <c r="B19" s="5"/>
      <c r="C19" s="5"/>
    </row>
    <row r="20" customFormat="false" ht="15" hidden="false" customHeight="false" outlineLevel="0" collapsed="false">
      <c r="A20" s="6" t="s">
        <v>34</v>
      </c>
      <c r="B20" s="7" t="s">
        <v>35</v>
      </c>
      <c r="C20" s="8" t="s">
        <v>36</v>
      </c>
    </row>
    <row r="21" customFormat="false" ht="15" hidden="false" customHeight="false" outlineLevel="0" collapsed="false">
      <c r="A21" s="6" t="s">
        <v>37</v>
      </c>
      <c r="B21" s="7" t="s">
        <v>35</v>
      </c>
      <c r="C21" s="8" t="s">
        <v>38</v>
      </c>
    </row>
    <row r="22" customFormat="false" ht="15" hidden="false" customHeight="false" outlineLevel="0" collapsed="false">
      <c r="A22" s="6" t="s">
        <v>39</v>
      </c>
      <c r="B22" s="7" t="s">
        <v>35</v>
      </c>
      <c r="C22" s="8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1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0" t="s">
        <v>41</v>
      </c>
    </row>
    <row r="2" customFormat="false" ht="15" hidden="false" customHeight="false" outlineLevel="0" collapsed="false">
      <c r="A2" s="2" t="s">
        <v>42</v>
      </c>
    </row>
    <row r="4" customFormat="false" ht="15" hidden="false" customHeight="false" outlineLevel="0" collapsed="false">
      <c r="A4" s="3" t="s">
        <v>43</v>
      </c>
      <c r="B4" s="11" t="s">
        <v>44</v>
      </c>
      <c r="C4" s="11" t="s">
        <v>45</v>
      </c>
      <c r="D4" s="11" t="s">
        <v>46</v>
      </c>
      <c r="E4" s="11" t="s">
        <v>47</v>
      </c>
      <c r="F4" s="11" t="s">
        <v>48</v>
      </c>
      <c r="G4" s="11" t="s">
        <v>49</v>
      </c>
      <c r="H4" s="11" t="s">
        <v>50</v>
      </c>
      <c r="I4" s="3" t="s">
        <v>51</v>
      </c>
    </row>
    <row r="5" customFormat="false" ht="15" hidden="false" customHeight="false" outlineLevel="0" collapsed="false">
      <c r="A5" s="9" t="s">
        <v>52</v>
      </c>
      <c r="B5" s="12" t="n">
        <v>50</v>
      </c>
      <c r="C5" s="12" t="n">
        <v>80</v>
      </c>
      <c r="D5" s="12" t="n">
        <v>120</v>
      </c>
      <c r="E5" s="12" t="n">
        <v>180</v>
      </c>
      <c r="F5" s="12" t="n">
        <v>260</v>
      </c>
      <c r="G5" s="12" t="n">
        <v>360</v>
      </c>
      <c r="H5" s="12" t="n">
        <v>480</v>
      </c>
      <c r="I5" s="13" t="n">
        <f aca="false">SUM(B5:H5)</f>
        <v>1530</v>
      </c>
    </row>
    <row r="6" customFormat="false" ht="15" hidden="false" customHeight="false" outlineLevel="0" collapsed="false">
      <c r="A6" s="14" t="s">
        <v>53</v>
      </c>
      <c r="B6" s="15" t="n">
        <v>7</v>
      </c>
      <c r="C6" s="15" t="n">
        <v>8</v>
      </c>
      <c r="D6" s="15" t="n">
        <v>8.9</v>
      </c>
      <c r="E6" s="15" t="n">
        <v>9.8</v>
      </c>
      <c r="F6" s="15" t="n">
        <v>10.8</v>
      </c>
      <c r="G6" s="15" t="n">
        <v>11.8</v>
      </c>
      <c r="H6" s="15" t="n">
        <v>12.7</v>
      </c>
      <c r="I6" s="7"/>
    </row>
    <row r="7" customFormat="false" ht="15" hidden="false" customHeight="false" outlineLevel="0" collapsed="false">
      <c r="A7" s="14" t="s">
        <v>54</v>
      </c>
      <c r="B7" s="15" t="n">
        <v>6.5</v>
      </c>
      <c r="C7" s="15" t="n">
        <v>9.9</v>
      </c>
      <c r="D7" s="15" t="n">
        <v>13.3</v>
      </c>
      <c r="E7" s="15" t="n">
        <v>16.8</v>
      </c>
      <c r="F7" s="15" t="n">
        <v>20.2</v>
      </c>
      <c r="G7" s="15" t="n">
        <v>23.6</v>
      </c>
      <c r="H7" s="15" t="n">
        <v>27</v>
      </c>
      <c r="I7" s="7"/>
    </row>
    <row r="8" customFormat="false" ht="15" hidden="false" customHeight="false" outlineLevel="0" collapsed="false">
      <c r="A8" s="14" t="s">
        <v>55</v>
      </c>
      <c r="B8" s="16" t="n">
        <v>1.25</v>
      </c>
      <c r="C8" s="16" t="n">
        <v>1.31</v>
      </c>
      <c r="D8" s="16" t="n">
        <v>1.37</v>
      </c>
      <c r="E8" s="16" t="n">
        <v>1.44</v>
      </c>
      <c r="F8" s="16" t="n">
        <v>1.5</v>
      </c>
      <c r="G8" s="16" t="n">
        <v>1.56</v>
      </c>
      <c r="H8" s="16" t="n">
        <v>1.62</v>
      </c>
      <c r="I8" s="7"/>
    </row>
    <row r="9" customFormat="false" ht="15" hidden="false" customHeight="false" outlineLevel="0" collapsed="false">
      <c r="A9" s="9" t="s">
        <v>56</v>
      </c>
      <c r="B9" s="13" t="n">
        <f aca="false">B6*B7*B8</f>
        <v>56.875</v>
      </c>
      <c r="C9" s="13" t="n">
        <f aca="false">C6*C7*C8</f>
        <v>103.752</v>
      </c>
      <c r="D9" s="13" t="n">
        <f aca="false">D6*D7*D8</f>
        <v>162.1669</v>
      </c>
      <c r="E9" s="13" t="n">
        <f aca="false">E6*E7*E8</f>
        <v>237.0816</v>
      </c>
      <c r="F9" s="13" t="n">
        <f aca="false">F6*F7*F8</f>
        <v>327.24</v>
      </c>
      <c r="G9" s="13" t="n">
        <f aca="false">G6*G7*G8</f>
        <v>434.4288</v>
      </c>
      <c r="H9" s="13" t="n">
        <f aca="false">H6*H7*H8</f>
        <v>555.498</v>
      </c>
      <c r="I9" s="13" t="n">
        <f aca="false">SUM(B9:H9)</f>
        <v>1877.0423</v>
      </c>
    </row>
    <row r="10" customFormat="false" ht="15" hidden="false" customHeight="false" outlineLevel="0" collapsed="false">
      <c r="A10" s="9" t="s">
        <v>57</v>
      </c>
      <c r="B10" s="17" t="n">
        <f aca="false">B9/B5</f>
        <v>1.1375</v>
      </c>
      <c r="C10" s="17" t="n">
        <f aca="false">C9/C5</f>
        <v>1.2969</v>
      </c>
      <c r="D10" s="17" t="n">
        <f aca="false">D9/D5</f>
        <v>1.35139083333333</v>
      </c>
      <c r="E10" s="17" t="n">
        <f aca="false">E9/E5</f>
        <v>1.31712</v>
      </c>
      <c r="F10" s="17" t="n">
        <f aca="false">F9/F5</f>
        <v>1.25861538461538</v>
      </c>
      <c r="G10" s="17" t="n">
        <f aca="false">G9/G5</f>
        <v>1.20674666666667</v>
      </c>
      <c r="H10" s="17" t="n">
        <f aca="false">H9/H5</f>
        <v>1.1572875</v>
      </c>
      <c r="I10" s="7"/>
    </row>
    <row r="12" customFormat="false" ht="15" hidden="false" customHeight="false" outlineLevel="0" collapsed="false">
      <c r="A12" s="2" t="s">
        <v>58</v>
      </c>
    </row>
    <row r="13" customFormat="false" ht="15" hidden="false" customHeight="false" outlineLevel="0" collapsed="false">
      <c r="A13" s="18" t="s">
        <v>59</v>
      </c>
    </row>
    <row r="14" customFormat="false" ht="15" hidden="false" customHeight="false" outlineLevel="0" collapsed="false">
      <c r="A14" s="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42"/>
  </cols>
  <sheetData>
    <row r="1" customFormat="false" ht="21.6" hidden="false" customHeight="false" outlineLevel="0" collapsed="false">
      <c r="A1" s="10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3" t="s">
        <v>63</v>
      </c>
      <c r="B4" s="3" t="s">
        <v>64</v>
      </c>
      <c r="C4" s="3" t="s">
        <v>65</v>
      </c>
      <c r="D4" s="3" t="s">
        <v>66</v>
      </c>
      <c r="E4" s="3" t="s">
        <v>67</v>
      </c>
      <c r="F4" s="3" t="s">
        <v>4</v>
      </c>
    </row>
    <row r="5" customFormat="false" ht="15" hidden="false" customHeight="false" outlineLevel="0" collapsed="false">
      <c r="A5" s="14" t="s">
        <v>68</v>
      </c>
      <c r="B5" s="8" t="s">
        <v>69</v>
      </c>
      <c r="C5" s="8" t="s">
        <v>70</v>
      </c>
      <c r="D5" s="12" t="n">
        <v>0</v>
      </c>
      <c r="E5" s="12" t="n">
        <v>5</v>
      </c>
      <c r="F5" s="8" t="s">
        <v>71</v>
      </c>
    </row>
    <row r="6" customFormat="false" ht="15" hidden="false" customHeight="false" outlineLevel="0" collapsed="false">
      <c r="A6" s="14" t="s">
        <v>68</v>
      </c>
      <c r="B6" s="8" t="s">
        <v>72</v>
      </c>
      <c r="C6" s="8" t="s">
        <v>73</v>
      </c>
      <c r="D6" s="12" t="n">
        <v>1</v>
      </c>
      <c r="E6" s="12" t="n">
        <v>10</v>
      </c>
      <c r="F6" s="7"/>
    </row>
    <row r="7" customFormat="false" ht="15" hidden="false" customHeight="false" outlineLevel="0" collapsed="false">
      <c r="A7" s="14" t="s">
        <v>68</v>
      </c>
      <c r="B7" s="8" t="s">
        <v>74</v>
      </c>
      <c r="C7" s="8" t="s">
        <v>75</v>
      </c>
      <c r="D7" s="12" t="n">
        <v>1</v>
      </c>
      <c r="E7" s="12" t="n">
        <v>11</v>
      </c>
      <c r="F7" s="7"/>
    </row>
    <row r="8" customFormat="false" ht="15" hidden="false" customHeight="false" outlineLevel="0" collapsed="false">
      <c r="A8" s="14" t="s">
        <v>68</v>
      </c>
      <c r="B8" s="8" t="s">
        <v>76</v>
      </c>
      <c r="C8" s="8" t="s">
        <v>77</v>
      </c>
      <c r="D8" s="12" t="n">
        <v>1</v>
      </c>
      <c r="E8" s="12" t="n">
        <v>16</v>
      </c>
      <c r="F8" s="7"/>
    </row>
    <row r="9" customFormat="false" ht="15" hidden="false" customHeight="false" outlineLevel="0" collapsed="false">
      <c r="A9" s="14" t="s">
        <v>68</v>
      </c>
      <c r="B9" s="8" t="s">
        <v>78</v>
      </c>
      <c r="C9" s="8" t="s">
        <v>79</v>
      </c>
      <c r="D9" s="12" t="n">
        <v>2</v>
      </c>
      <c r="E9" s="12" t="n">
        <v>24</v>
      </c>
      <c r="F9" s="7"/>
    </row>
    <row r="10" customFormat="false" ht="15" hidden="false" customHeight="false" outlineLevel="0" collapsed="false">
      <c r="A10" s="14" t="s">
        <v>68</v>
      </c>
      <c r="B10" s="8" t="s">
        <v>80</v>
      </c>
      <c r="C10" s="8" t="s">
        <v>81</v>
      </c>
      <c r="D10" s="12" t="n">
        <v>2</v>
      </c>
      <c r="E10" s="12" t="n">
        <v>28</v>
      </c>
      <c r="F10" s="8" t="s">
        <v>82</v>
      </c>
    </row>
    <row r="11" customFormat="false" ht="15" hidden="false" customHeight="false" outlineLevel="0" collapsed="false">
      <c r="A11" s="14" t="s">
        <v>68</v>
      </c>
      <c r="B11" s="8" t="s">
        <v>83</v>
      </c>
      <c r="C11" s="8" t="s">
        <v>84</v>
      </c>
      <c r="D11" s="12" t="n">
        <v>3</v>
      </c>
      <c r="E11" s="12" t="n">
        <v>38</v>
      </c>
      <c r="F11" s="7" t="s">
        <v>85</v>
      </c>
    </row>
    <row r="12" customFormat="false" ht="15" hidden="false" customHeight="false" outlineLevel="0" collapsed="false">
      <c r="A12" s="14" t="s">
        <v>86</v>
      </c>
      <c r="B12" s="8" t="s">
        <v>87</v>
      </c>
      <c r="C12" s="8" t="s">
        <v>88</v>
      </c>
      <c r="D12" s="12" t="n">
        <v>1</v>
      </c>
      <c r="E12" s="12" t="n">
        <v>17</v>
      </c>
      <c r="F12" s="8" t="s">
        <v>89</v>
      </c>
    </row>
    <row r="13" customFormat="false" ht="15" hidden="false" customHeight="false" outlineLevel="0" collapsed="false">
      <c r="A13" s="14" t="s">
        <v>86</v>
      </c>
      <c r="B13" s="8" t="s">
        <v>90</v>
      </c>
      <c r="C13" s="8" t="s">
        <v>91</v>
      </c>
      <c r="D13" s="12" t="n">
        <v>1</v>
      </c>
      <c r="E13" s="12" t="n">
        <v>19</v>
      </c>
      <c r="F13" s="7"/>
    </row>
    <row r="14" customFormat="false" ht="15" hidden="false" customHeight="false" outlineLevel="0" collapsed="false">
      <c r="A14" s="14" t="s">
        <v>86</v>
      </c>
      <c r="B14" s="8" t="s">
        <v>92</v>
      </c>
      <c r="C14" s="8" t="s">
        <v>93</v>
      </c>
      <c r="D14" s="12" t="n">
        <v>1</v>
      </c>
      <c r="E14" s="12" t="n">
        <v>21</v>
      </c>
      <c r="F14" s="7"/>
    </row>
    <row r="15" customFormat="false" ht="15" hidden="false" customHeight="false" outlineLevel="0" collapsed="false">
      <c r="A15" s="14" t="s">
        <v>86</v>
      </c>
      <c r="B15" s="8" t="s">
        <v>94</v>
      </c>
      <c r="C15" s="8" t="s">
        <v>95</v>
      </c>
      <c r="D15" s="12" t="n">
        <v>1</v>
      </c>
      <c r="E15" s="12" t="n">
        <v>23</v>
      </c>
      <c r="F15" s="8" t="s">
        <v>96</v>
      </c>
    </row>
    <row r="17" customFormat="false" ht="15" hidden="false" customHeight="false" outlineLevel="0" collapsed="false">
      <c r="A17" s="19" t="s">
        <v>97</v>
      </c>
    </row>
    <row r="18" customFormat="false" ht="15" hidden="false" customHeight="false" outlineLevel="0" collapsed="false">
      <c r="A18" s="2" t="s">
        <v>98</v>
      </c>
    </row>
    <row r="19" customFormat="false" ht="15" hidden="false" customHeight="false" outlineLevel="0" collapsed="false">
      <c r="A19" s="18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6" min="6" style="0" width="46"/>
  </cols>
  <sheetData>
    <row r="1" customFormat="false" ht="21.6" hidden="false" customHeight="false" outlineLevel="0" collapsed="false">
      <c r="A1" s="10" t="s">
        <v>100</v>
      </c>
    </row>
    <row r="2" customFormat="false" ht="15" hidden="false" customHeight="false" outlineLevel="0" collapsed="false">
      <c r="A2" s="2" t="s">
        <v>101</v>
      </c>
    </row>
    <row r="4" customFormat="false" ht="15" hidden="false" customHeight="false" outlineLevel="0" collapsed="false">
      <c r="A4" s="3" t="s">
        <v>102</v>
      </c>
      <c r="B4" s="3" t="s">
        <v>103</v>
      </c>
      <c r="C4" s="3" t="s">
        <v>104</v>
      </c>
      <c r="D4" s="3" t="s">
        <v>105</v>
      </c>
      <c r="E4" s="3" t="s">
        <v>106</v>
      </c>
      <c r="F4" s="3" t="s">
        <v>4</v>
      </c>
    </row>
    <row r="5" customFormat="false" ht="15" hidden="false" customHeight="false" outlineLevel="0" collapsed="false">
      <c r="A5" s="14" t="s">
        <v>107</v>
      </c>
      <c r="B5" s="8" t="s">
        <v>108</v>
      </c>
      <c r="C5" s="16" t="n">
        <v>0.8</v>
      </c>
      <c r="D5" s="7" t="n">
        <v>70</v>
      </c>
      <c r="E5" s="17" t="n">
        <v>0.3</v>
      </c>
      <c r="F5" s="8" t="s">
        <v>109</v>
      </c>
    </row>
    <row r="6" customFormat="false" ht="15" hidden="false" customHeight="false" outlineLevel="0" collapsed="false">
      <c r="A6" s="14" t="s">
        <v>110</v>
      </c>
      <c r="B6" s="7" t="s">
        <v>111</v>
      </c>
      <c r="C6" s="16" t="n">
        <v>1</v>
      </c>
      <c r="D6" s="7" t="n">
        <v>45</v>
      </c>
      <c r="E6" s="17" t="n">
        <v>0.15</v>
      </c>
      <c r="F6" s="7"/>
    </row>
    <row r="7" customFormat="false" ht="15" hidden="false" customHeight="false" outlineLevel="0" collapsed="false">
      <c r="A7" s="14" t="s">
        <v>112</v>
      </c>
      <c r="B7" s="7" t="s">
        <v>113</v>
      </c>
      <c r="C7" s="16" t="n">
        <v>1</v>
      </c>
      <c r="D7" s="7" t="n">
        <v>45</v>
      </c>
      <c r="E7" s="17" t="n">
        <v>0.15</v>
      </c>
      <c r="F7" s="7"/>
    </row>
    <row r="8" customFormat="false" ht="15" hidden="false" customHeight="false" outlineLevel="0" collapsed="false">
      <c r="A8" s="14" t="s">
        <v>114</v>
      </c>
      <c r="B8" s="8" t="s">
        <v>115</v>
      </c>
      <c r="C8" s="16" t="n">
        <v>1.1</v>
      </c>
      <c r="D8" s="7" t="n">
        <v>55</v>
      </c>
      <c r="E8" s="17" t="n">
        <v>0.1</v>
      </c>
      <c r="F8" s="8" t="s">
        <v>116</v>
      </c>
    </row>
    <row r="9" customFormat="false" ht="15" hidden="false" customHeight="false" outlineLevel="0" collapsed="false">
      <c r="A9" s="14" t="s">
        <v>117</v>
      </c>
      <c r="B9" s="8" t="s">
        <v>118</v>
      </c>
      <c r="C9" s="16" t="n">
        <v>1.3</v>
      </c>
      <c r="D9" s="7" t="n">
        <v>28</v>
      </c>
      <c r="E9" s="17" t="n">
        <v>0.15</v>
      </c>
      <c r="F9" s="8" t="s">
        <v>119</v>
      </c>
    </row>
    <row r="10" customFormat="false" ht="15" hidden="false" customHeight="false" outlineLevel="0" collapsed="false">
      <c r="A10" s="14" t="s">
        <v>120</v>
      </c>
      <c r="B10" s="8" t="s">
        <v>121</v>
      </c>
      <c r="C10" s="16" t="n">
        <v>1.45</v>
      </c>
      <c r="D10" s="7" t="n">
        <v>50</v>
      </c>
      <c r="E10" s="17" t="n">
        <v>0.15</v>
      </c>
      <c r="F10" s="8" t="s">
        <v>122</v>
      </c>
    </row>
    <row r="11" customFormat="false" ht="15" hidden="false" customHeight="false" outlineLevel="0" collapsed="false">
      <c r="A11" s="20" t="s">
        <v>123</v>
      </c>
      <c r="B11" s="20"/>
      <c r="C11" s="21" t="n">
        <f aca="false">SUMPRODUCT(C5:C10,E5:E10)</f>
        <v>1.0625</v>
      </c>
      <c r="D11" s="22" t="n">
        <f aca="false">SUMPRODUCT(D5:D10,E5:E10)</f>
        <v>51.7</v>
      </c>
      <c r="E11" s="23" t="n">
        <f aca="false">SUM(E5:E10)</f>
        <v>1</v>
      </c>
      <c r="F11" s="20"/>
    </row>
    <row r="13" customFormat="false" ht="15" hidden="false" customHeight="false" outlineLevel="0" collapsed="false">
      <c r="A13" s="4" t="s">
        <v>124</v>
      </c>
      <c r="B13" s="5"/>
      <c r="C13" s="5"/>
      <c r="D13" s="5"/>
      <c r="E13" s="5"/>
      <c r="F13" s="5"/>
    </row>
    <row r="14" customFormat="false" ht="29.85" hidden="false" customHeight="false" outlineLevel="0" collapsed="false">
      <c r="A14" s="24" t="s">
        <v>125</v>
      </c>
      <c r="B14" s="25" t="s">
        <v>126</v>
      </c>
      <c r="C14" s="26"/>
      <c r="D14" s="26"/>
      <c r="E14" s="26"/>
      <c r="F14" s="26"/>
    </row>
    <row r="15" customFormat="false" ht="15" hidden="false" customHeight="false" outlineLevel="0" collapsed="false">
      <c r="A15" s="24" t="s">
        <v>127</v>
      </c>
      <c r="B15" s="14" t="s">
        <v>128</v>
      </c>
      <c r="C15" s="26"/>
      <c r="D15" s="26"/>
      <c r="E15" s="26"/>
      <c r="F15" s="26"/>
    </row>
    <row r="16" customFormat="false" ht="29.85" hidden="false" customHeight="false" outlineLevel="0" collapsed="false">
      <c r="A16" s="24" t="s">
        <v>129</v>
      </c>
      <c r="B16" s="14" t="s">
        <v>130</v>
      </c>
      <c r="C16" s="26"/>
      <c r="D16" s="26"/>
      <c r="E16" s="26"/>
      <c r="F16" s="26"/>
    </row>
    <row r="17" customFormat="false" ht="29.85" hidden="false" customHeight="false" outlineLevel="0" collapsed="false">
      <c r="A17" s="24" t="s">
        <v>131</v>
      </c>
      <c r="B17" s="14" t="s">
        <v>132</v>
      </c>
      <c r="C17" s="26"/>
      <c r="D17" s="26"/>
      <c r="E17" s="26"/>
      <c r="F17" s="26"/>
    </row>
    <row r="18" customFormat="false" ht="29.85" hidden="false" customHeight="false" outlineLevel="0" collapsed="false">
      <c r="A18" s="24" t="s">
        <v>133</v>
      </c>
      <c r="B18" s="14" t="s">
        <v>134</v>
      </c>
      <c r="C18" s="26"/>
      <c r="D18" s="26"/>
      <c r="E18" s="26"/>
      <c r="F18" s="26"/>
    </row>
    <row r="19" customFormat="false" ht="29.85" hidden="false" customHeight="false" outlineLevel="0" collapsed="false">
      <c r="A19" s="24" t="s">
        <v>135</v>
      </c>
      <c r="B19" s="25" t="s">
        <v>136</v>
      </c>
      <c r="C19" s="26"/>
      <c r="D19" s="26"/>
      <c r="E19" s="26"/>
      <c r="F19" s="26"/>
    </row>
    <row r="21" customFormat="false" ht="15" hidden="false" customHeight="false" outlineLevel="0" collapsed="false">
      <c r="A21" s="4" t="s">
        <v>137</v>
      </c>
      <c r="B21" s="5"/>
      <c r="C21" s="5"/>
      <c r="D21" s="5"/>
      <c r="E21" s="5"/>
      <c r="F21" s="5"/>
    </row>
    <row r="22" customFormat="false" ht="15" hidden="false" customHeight="false" outlineLevel="0" collapsed="false">
      <c r="A22" s="27" t="s">
        <v>138</v>
      </c>
      <c r="B22" s="14" t="s">
        <v>139</v>
      </c>
      <c r="C22" s="26"/>
      <c r="D22" s="26"/>
      <c r="E22" s="26"/>
      <c r="F22" s="26"/>
    </row>
    <row r="23" customFormat="false" ht="15" hidden="false" customHeight="false" outlineLevel="0" collapsed="false">
      <c r="A23" s="24" t="s">
        <v>140</v>
      </c>
      <c r="B23" s="14" t="s">
        <v>141</v>
      </c>
      <c r="C23" s="26"/>
      <c r="D23" s="26"/>
      <c r="E23" s="26"/>
      <c r="F23" s="26"/>
    </row>
    <row r="24" customFormat="false" ht="15" hidden="false" customHeight="false" outlineLevel="0" collapsed="false">
      <c r="A24" s="24" t="s">
        <v>142</v>
      </c>
      <c r="B24" s="25" t="s">
        <v>143</v>
      </c>
      <c r="C24" s="26"/>
      <c r="D24" s="26"/>
      <c r="E24" s="26"/>
      <c r="F24" s="26"/>
    </row>
    <row r="25" customFormat="false" ht="29.85" hidden="false" customHeight="false" outlineLevel="0" collapsed="false">
      <c r="A25" s="24" t="s">
        <v>144</v>
      </c>
      <c r="B25" s="14" t="s">
        <v>145</v>
      </c>
      <c r="C25" s="26"/>
      <c r="D25" s="26"/>
      <c r="E25" s="26"/>
      <c r="F25" s="26"/>
    </row>
    <row r="27" customFormat="false" ht="15" hidden="false" customHeight="false" outlineLevel="0" collapsed="false">
      <c r="A27" s="4" t="s">
        <v>146</v>
      </c>
      <c r="B27" s="5"/>
      <c r="C27" s="5"/>
      <c r="D27" s="5"/>
      <c r="E27" s="5"/>
      <c r="F27" s="5"/>
    </row>
    <row r="28" customFormat="false" ht="15" hidden="false" customHeight="false" outlineLevel="0" collapsed="false">
      <c r="A28" s="24" t="s">
        <v>147</v>
      </c>
      <c r="B28" s="14" t="s">
        <v>148</v>
      </c>
      <c r="C28" s="26"/>
      <c r="D28" s="26"/>
      <c r="E28" s="26"/>
      <c r="F28" s="26"/>
    </row>
    <row r="29" customFormat="false" ht="15" hidden="false" customHeight="false" outlineLevel="0" collapsed="false">
      <c r="A29" s="24" t="s">
        <v>149</v>
      </c>
      <c r="B29" s="14" t="s">
        <v>150</v>
      </c>
      <c r="C29" s="26"/>
      <c r="D29" s="26"/>
      <c r="E29" s="26"/>
      <c r="F29" s="26"/>
    </row>
    <row r="30" customFormat="false" ht="29.85" hidden="false" customHeight="false" outlineLevel="0" collapsed="false">
      <c r="A30" s="24" t="s">
        <v>151</v>
      </c>
      <c r="B30" s="14" t="s">
        <v>152</v>
      </c>
      <c r="C30" s="26"/>
      <c r="D30" s="26"/>
      <c r="E30" s="26"/>
      <c r="F30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9" min="3" style="0" width="9"/>
  </cols>
  <sheetData>
    <row r="1" customFormat="false" ht="21.6" hidden="false" customHeight="false" outlineLevel="0" collapsed="false">
      <c r="A1" s="10" t="s">
        <v>153</v>
      </c>
    </row>
    <row r="2" customFormat="false" ht="15" hidden="false" customHeight="false" outlineLevel="0" collapsed="false">
      <c r="A2" s="2" t="s">
        <v>154</v>
      </c>
    </row>
    <row r="4" customFormat="false" ht="15" hidden="false" customHeight="false" outlineLevel="0" collapsed="false">
      <c r="A4" s="3" t="s">
        <v>155</v>
      </c>
      <c r="B4" s="3" t="s">
        <v>156</v>
      </c>
      <c r="C4" s="11" t="s">
        <v>157</v>
      </c>
      <c r="D4" s="11" t="s">
        <v>158</v>
      </c>
      <c r="E4" s="11" t="s">
        <v>159</v>
      </c>
      <c r="F4" s="11" t="s">
        <v>160</v>
      </c>
      <c r="G4" s="11" t="s">
        <v>161</v>
      </c>
      <c r="H4" s="11" t="s">
        <v>162</v>
      </c>
      <c r="I4" s="11" t="s">
        <v>163</v>
      </c>
    </row>
    <row r="5" customFormat="false" ht="15" hidden="false" customHeight="false" outlineLevel="0" collapsed="false">
      <c r="A5" s="14" t="s">
        <v>164</v>
      </c>
      <c r="B5" s="28" t="s">
        <v>165</v>
      </c>
      <c r="C5" s="17" t="n">
        <v>1</v>
      </c>
      <c r="D5" s="17" t="n">
        <v>0.95</v>
      </c>
      <c r="E5" s="17" t="n">
        <v>0.9</v>
      </c>
      <c r="F5" s="17" t="n">
        <v>0.85</v>
      </c>
      <c r="G5" s="17" t="n">
        <v>0.8</v>
      </c>
      <c r="H5" s="17" t="n">
        <v>0.75</v>
      </c>
      <c r="I5" s="17" t="n">
        <v>0.7</v>
      </c>
    </row>
    <row r="6" customFormat="false" ht="15" hidden="false" customHeight="false" outlineLevel="0" collapsed="false">
      <c r="A6" s="14" t="s">
        <v>164</v>
      </c>
      <c r="B6" s="28" t="s">
        <v>166</v>
      </c>
      <c r="C6" s="7"/>
      <c r="D6" s="17" t="n">
        <v>0.05</v>
      </c>
      <c r="E6" s="17" t="n">
        <v>0.1</v>
      </c>
      <c r="F6" s="17" t="n">
        <v>0.15</v>
      </c>
      <c r="G6" s="17" t="n">
        <v>0.2</v>
      </c>
      <c r="H6" s="17" t="n">
        <v>0.25</v>
      </c>
      <c r="I6" s="17" t="n">
        <v>0.3</v>
      </c>
    </row>
    <row r="7" customFormat="false" ht="15" hidden="false" customHeight="false" outlineLevel="0" collapsed="false">
      <c r="A7" s="14" t="s">
        <v>164</v>
      </c>
      <c r="B7" s="28" t="s">
        <v>167</v>
      </c>
      <c r="C7" s="29"/>
      <c r="D7" s="29"/>
      <c r="E7" s="29"/>
      <c r="F7" s="29"/>
      <c r="G7" s="29"/>
      <c r="H7" s="29"/>
      <c r="I7" s="29"/>
    </row>
    <row r="8" customFormat="false" ht="15" hidden="false" customHeight="false" outlineLevel="0" collapsed="false">
      <c r="A8" s="14" t="s">
        <v>168</v>
      </c>
      <c r="B8" s="28" t="s">
        <v>165</v>
      </c>
      <c r="C8" s="17" t="n">
        <v>0.7</v>
      </c>
      <c r="D8" s="17" t="n">
        <v>0.55</v>
      </c>
      <c r="E8" s="17" t="n">
        <v>0.4</v>
      </c>
      <c r="F8" s="17" t="n">
        <v>0.3</v>
      </c>
      <c r="G8" s="17" t="n">
        <v>0.25</v>
      </c>
      <c r="H8" s="17" t="n">
        <v>0.2</v>
      </c>
      <c r="I8" s="17" t="n">
        <v>0.15</v>
      </c>
    </row>
    <row r="9" customFormat="false" ht="15" hidden="false" customHeight="false" outlineLevel="0" collapsed="false">
      <c r="A9" s="14" t="s">
        <v>168</v>
      </c>
      <c r="B9" s="28" t="s">
        <v>166</v>
      </c>
      <c r="C9" s="17" t="n">
        <v>0.3</v>
      </c>
      <c r="D9" s="17" t="n">
        <v>0.45</v>
      </c>
      <c r="E9" s="17" t="n">
        <v>0.55</v>
      </c>
      <c r="F9" s="17" t="n">
        <v>0.6</v>
      </c>
      <c r="G9" s="17" t="n">
        <v>0.6</v>
      </c>
      <c r="H9" s="17" t="n">
        <v>0.6</v>
      </c>
      <c r="I9" s="17" t="n">
        <v>0.6</v>
      </c>
    </row>
    <row r="10" customFormat="false" ht="15" hidden="false" customHeight="false" outlineLevel="0" collapsed="false">
      <c r="A10" s="14" t="s">
        <v>168</v>
      </c>
      <c r="B10" s="28" t="s">
        <v>167</v>
      </c>
      <c r="C10" s="29"/>
      <c r="D10" s="29"/>
      <c r="E10" s="30" t="n">
        <v>0.05</v>
      </c>
      <c r="F10" s="30" t="n">
        <v>0.1</v>
      </c>
      <c r="G10" s="30" t="n">
        <v>0.15</v>
      </c>
      <c r="H10" s="30" t="n">
        <v>0.2</v>
      </c>
      <c r="I10" s="30" t="n">
        <v>0.25</v>
      </c>
    </row>
    <row r="11" customFormat="false" ht="15" hidden="false" customHeight="false" outlineLevel="0" collapsed="false">
      <c r="A11" s="14" t="s">
        <v>169</v>
      </c>
      <c r="B11" s="28" t="s">
        <v>165</v>
      </c>
      <c r="C11" s="17" t="n">
        <v>0.3</v>
      </c>
      <c r="D11" s="17" t="n">
        <v>0.15</v>
      </c>
      <c r="E11" s="17" t="n">
        <v>0.1</v>
      </c>
      <c r="F11" s="17" t="n">
        <v>0.05</v>
      </c>
      <c r="G11" s="7"/>
      <c r="H11" s="7"/>
      <c r="I11" s="7"/>
    </row>
    <row r="12" customFormat="false" ht="15" hidden="false" customHeight="false" outlineLevel="0" collapsed="false">
      <c r="A12" s="14" t="s">
        <v>169</v>
      </c>
      <c r="B12" s="28" t="s">
        <v>166</v>
      </c>
      <c r="C12" s="17" t="n">
        <v>0.7</v>
      </c>
      <c r="D12" s="17" t="n">
        <v>0.75</v>
      </c>
      <c r="E12" s="17" t="n">
        <v>0.65</v>
      </c>
      <c r="F12" s="17" t="n">
        <v>0.55</v>
      </c>
      <c r="G12" s="17" t="n">
        <v>0.45</v>
      </c>
      <c r="H12" s="17" t="n">
        <v>0.35</v>
      </c>
      <c r="I12" s="17" t="n">
        <v>0.25</v>
      </c>
    </row>
    <row r="13" customFormat="false" ht="15" hidden="false" customHeight="false" outlineLevel="0" collapsed="false">
      <c r="A13" s="14" t="s">
        <v>169</v>
      </c>
      <c r="B13" s="28" t="s">
        <v>167</v>
      </c>
      <c r="C13" s="29"/>
      <c r="D13" s="30" t="n">
        <v>0.1</v>
      </c>
      <c r="E13" s="30" t="n">
        <v>0.25</v>
      </c>
      <c r="F13" s="30" t="n">
        <v>0.4</v>
      </c>
      <c r="G13" s="30" t="n">
        <v>0.55</v>
      </c>
      <c r="H13" s="30" t="n">
        <v>0.65</v>
      </c>
      <c r="I13" s="30" t="n">
        <v>0.75</v>
      </c>
    </row>
    <row r="15" customFormat="false" ht="15" hidden="false" customHeight="false" outlineLevel="0" collapsed="false">
      <c r="A15" s="2" t="s">
        <v>170</v>
      </c>
    </row>
    <row r="16" customFormat="false" ht="15" hidden="false" customHeight="false" outlineLevel="0" collapsed="false">
      <c r="A16" s="18" t="s">
        <v>171</v>
      </c>
    </row>
    <row r="17" customFormat="false" ht="15" hidden="false" customHeight="false" outlineLevel="0" collapsed="false">
      <c r="A17" s="18" t="s">
        <v>172</v>
      </c>
    </row>
    <row r="19" customFormat="false" ht="15" hidden="false" customHeight="false" outlineLevel="0" collapsed="false">
      <c r="A19" s="3" t="s">
        <v>173</v>
      </c>
      <c r="B19" s="11" t="s">
        <v>157</v>
      </c>
      <c r="C19" s="11" t="s">
        <v>158</v>
      </c>
      <c r="D19" s="11" t="s">
        <v>159</v>
      </c>
      <c r="E19" s="11" t="s">
        <v>160</v>
      </c>
      <c r="F19" s="11" t="s">
        <v>161</v>
      </c>
      <c r="G19" s="11" t="s">
        <v>162</v>
      </c>
      <c r="H19" s="11" t="s">
        <v>163</v>
      </c>
    </row>
    <row r="20" customFormat="false" ht="15" hidden="false" customHeight="false" outlineLevel="0" collapsed="false">
      <c r="A20" s="6" t="s">
        <v>174</v>
      </c>
      <c r="B20" s="15" t="n">
        <v>10.4</v>
      </c>
      <c r="C20" s="15" t="n">
        <v>8.9</v>
      </c>
      <c r="D20" s="15" t="n">
        <v>7.7</v>
      </c>
      <c r="E20" s="15" t="n">
        <v>6.8</v>
      </c>
      <c r="F20" s="15" t="n">
        <v>6.1</v>
      </c>
      <c r="G20" s="15" t="n">
        <v>5.5</v>
      </c>
      <c r="H20" s="15" t="n">
        <v>4.9</v>
      </c>
    </row>
    <row r="21" customFormat="false" ht="15" hidden="false" customHeight="false" outlineLevel="0" collapsed="false">
      <c r="A21" s="6" t="s">
        <v>175</v>
      </c>
      <c r="B21" s="15" t="n">
        <v>3.6</v>
      </c>
      <c r="C21" s="15" t="n">
        <v>4.8</v>
      </c>
      <c r="D21" s="15" t="n">
        <v>5.3</v>
      </c>
      <c r="E21" s="15" t="n">
        <v>5.5</v>
      </c>
      <c r="F21" s="15" t="n">
        <v>5.6</v>
      </c>
      <c r="G21" s="15" t="n">
        <v>5.5</v>
      </c>
      <c r="H21" s="15" t="n">
        <v>5.5</v>
      </c>
    </row>
    <row r="22" customFormat="false" ht="15" hidden="false" customHeight="false" outlineLevel="0" collapsed="false">
      <c r="A22" s="6" t="s">
        <v>176</v>
      </c>
      <c r="B22" s="15" t="n">
        <v>0</v>
      </c>
      <c r="C22" s="15" t="n">
        <v>0.3</v>
      </c>
      <c r="D22" s="15" t="n">
        <v>1</v>
      </c>
      <c r="E22" s="15" t="n">
        <v>1.7</v>
      </c>
      <c r="F22" s="15" t="n">
        <v>2.4</v>
      </c>
      <c r="G22" s="15" t="n">
        <v>3</v>
      </c>
      <c r="H22" s="15" t="n">
        <v>3.5</v>
      </c>
    </row>
    <row r="23" customFormat="false" ht="15" hidden="false" customHeight="false" outlineLevel="0" collapsed="false">
      <c r="A23" s="9" t="s">
        <v>177</v>
      </c>
      <c r="B23" s="15" t="n">
        <v>38.6</v>
      </c>
      <c r="C23" s="15" t="n">
        <v>40.4</v>
      </c>
      <c r="D23" s="15" t="n">
        <v>42.3</v>
      </c>
      <c r="E23" s="15" t="n">
        <v>43.9</v>
      </c>
      <c r="F23" s="15" t="n">
        <v>45.4</v>
      </c>
      <c r="G23" s="15" t="n">
        <v>46.4</v>
      </c>
      <c r="H23" s="15" t="n">
        <v>47.5</v>
      </c>
    </row>
    <row r="24" customFormat="false" ht="15" hidden="false" customHeight="false" outlineLevel="0" collapsed="false">
      <c r="A24" s="6" t="s">
        <v>178</v>
      </c>
      <c r="B24" s="15" t="n">
        <v>9.6</v>
      </c>
      <c r="C24" s="15" t="n">
        <v>10.1</v>
      </c>
      <c r="D24" s="15" t="n">
        <v>10.6</v>
      </c>
      <c r="E24" s="15" t="n">
        <v>11</v>
      </c>
      <c r="F24" s="15" t="n">
        <v>11.3</v>
      </c>
      <c r="G24" s="15" t="n">
        <v>11.6</v>
      </c>
      <c r="H24" s="15" t="n">
        <v>11.9</v>
      </c>
    </row>
    <row r="26" customFormat="false" ht="15" hidden="false" customHeight="false" outlineLevel="0" collapsed="false">
      <c r="A26" s="2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9" min="2" style="0" width="8"/>
    <col collapsed="false" customWidth="true" hidden="false" outlineLevel="0" max="10" min="10" style="0" width="40"/>
  </cols>
  <sheetData>
    <row r="1" customFormat="false" ht="21.6" hidden="false" customHeight="false" outlineLevel="0" collapsed="false">
      <c r="A1" s="10" t="s">
        <v>180</v>
      </c>
    </row>
    <row r="2" customFormat="false" ht="15" hidden="false" customHeight="false" outlineLevel="0" collapsed="false">
      <c r="A2" s="2" t="s">
        <v>181</v>
      </c>
    </row>
    <row r="4" customFormat="false" ht="15" hidden="false" customHeight="false" outlineLevel="0" collapsed="false">
      <c r="A4" s="3" t="s">
        <v>65</v>
      </c>
      <c r="B4" s="11" t="s">
        <v>157</v>
      </c>
      <c r="C4" s="11" t="s">
        <v>158</v>
      </c>
      <c r="D4" s="11" t="s">
        <v>159</v>
      </c>
      <c r="E4" s="11" t="s">
        <v>160</v>
      </c>
      <c r="F4" s="11" t="s">
        <v>161</v>
      </c>
      <c r="G4" s="11" t="s">
        <v>162</v>
      </c>
      <c r="H4" s="11" t="s">
        <v>163</v>
      </c>
      <c r="I4" s="3" t="s">
        <v>182</v>
      </c>
      <c r="J4" s="3" t="s">
        <v>183</v>
      </c>
    </row>
    <row r="5" customFormat="false" ht="15" hidden="false" customHeight="false" outlineLevel="0" collapsed="false">
      <c r="A5" s="14" t="s">
        <v>184</v>
      </c>
      <c r="B5" s="7" t="n">
        <v>35</v>
      </c>
      <c r="C5" s="7" t="n">
        <v>30</v>
      </c>
      <c r="D5" s="7" t="n">
        <v>25</v>
      </c>
      <c r="E5" s="7" t="n">
        <v>22</v>
      </c>
      <c r="F5" s="7" t="n">
        <v>20</v>
      </c>
      <c r="G5" s="7" t="n">
        <v>18</v>
      </c>
      <c r="H5" s="7" t="n">
        <v>18</v>
      </c>
      <c r="I5" s="7" t="n">
        <v>1</v>
      </c>
      <c r="J5" s="8" t="s">
        <v>185</v>
      </c>
    </row>
    <row r="6" customFormat="false" ht="15" hidden="false" customHeight="false" outlineLevel="0" collapsed="false">
      <c r="A6" s="14" t="s">
        <v>186</v>
      </c>
      <c r="B6" s="7" t="n">
        <v>35</v>
      </c>
      <c r="C6" s="7" t="n">
        <v>28</v>
      </c>
      <c r="D6" s="7" t="n">
        <v>22</v>
      </c>
      <c r="E6" s="7" t="n">
        <v>20</v>
      </c>
      <c r="F6" s="7" t="n">
        <v>18</v>
      </c>
      <c r="G6" s="7" t="n">
        <v>17</v>
      </c>
      <c r="H6" s="7" t="n">
        <v>17</v>
      </c>
      <c r="I6" s="7" t="n">
        <v>0.5</v>
      </c>
      <c r="J6" s="8" t="s">
        <v>187</v>
      </c>
    </row>
    <row r="7" customFormat="false" ht="15" hidden="false" customHeight="false" outlineLevel="0" collapsed="false">
      <c r="A7" s="14" t="s">
        <v>188</v>
      </c>
      <c r="B7" s="7" t="n">
        <v>30</v>
      </c>
      <c r="C7" s="7" t="n">
        <v>22</v>
      </c>
      <c r="D7" s="7" t="n">
        <v>18</v>
      </c>
      <c r="E7" s="7" t="n">
        <v>16</v>
      </c>
      <c r="F7" s="7" t="n">
        <v>15</v>
      </c>
      <c r="G7" s="7" t="n">
        <v>15</v>
      </c>
      <c r="H7" s="7" t="n">
        <v>15</v>
      </c>
      <c r="I7" s="7" t="n">
        <v>1</v>
      </c>
      <c r="J7" s="8" t="s">
        <v>189</v>
      </c>
    </row>
    <row r="8" customFormat="false" ht="15" hidden="false" customHeight="false" outlineLevel="0" collapsed="false">
      <c r="A8" s="14" t="s">
        <v>190</v>
      </c>
      <c r="B8" s="7"/>
      <c r="C8" s="7" t="n">
        <v>20</v>
      </c>
      <c r="D8" s="7" t="n">
        <v>15</v>
      </c>
      <c r="E8" s="7" t="n">
        <v>13</v>
      </c>
      <c r="F8" s="7" t="n">
        <v>13</v>
      </c>
      <c r="G8" s="7" t="n">
        <v>13</v>
      </c>
      <c r="H8" s="7" t="n">
        <v>13</v>
      </c>
      <c r="I8" s="7" t="n">
        <v>1</v>
      </c>
      <c r="J8" s="8" t="s">
        <v>87</v>
      </c>
    </row>
    <row r="9" customFormat="false" ht="15" hidden="false" customHeight="false" outlineLevel="0" collapsed="false">
      <c r="A9" s="14" t="s">
        <v>191</v>
      </c>
      <c r="B9" s="7"/>
      <c r="C9" s="7"/>
      <c r="D9" s="7" t="n">
        <v>20</v>
      </c>
      <c r="E9" s="7" t="n">
        <v>17</v>
      </c>
      <c r="F9" s="7" t="n">
        <v>17</v>
      </c>
      <c r="G9" s="7" t="n">
        <v>18</v>
      </c>
      <c r="H9" s="7" t="n">
        <v>18</v>
      </c>
      <c r="I9" s="7" t="n">
        <v>1</v>
      </c>
      <c r="J9" s="8" t="s">
        <v>192</v>
      </c>
    </row>
    <row r="10" customFormat="false" ht="15" hidden="false" customHeight="false" outlineLevel="0" collapsed="false">
      <c r="A10" s="14" t="s">
        <v>193</v>
      </c>
      <c r="B10" s="7"/>
      <c r="C10" s="7"/>
      <c r="D10" s="7"/>
      <c r="E10" s="7" t="n">
        <v>12</v>
      </c>
      <c r="F10" s="7" t="n">
        <v>17</v>
      </c>
      <c r="G10" s="7" t="n">
        <v>19</v>
      </c>
      <c r="H10" s="7" t="n">
        <v>19</v>
      </c>
      <c r="I10" s="7" t="n">
        <v>1</v>
      </c>
      <c r="J10" s="8" t="s">
        <v>194</v>
      </c>
    </row>
    <row r="11" customFormat="false" ht="15" hidden="false" customHeight="false" outlineLevel="0" collapsed="false">
      <c r="A11" s="14" t="s">
        <v>195</v>
      </c>
      <c r="B11" s="7"/>
      <c r="C11" s="7"/>
      <c r="D11" s="7"/>
      <c r="E11" s="8" t="s">
        <v>196</v>
      </c>
      <c r="F11" s="8" t="s">
        <v>196</v>
      </c>
      <c r="G11" s="8" t="s">
        <v>196</v>
      </c>
      <c r="H11" s="8" t="s">
        <v>196</v>
      </c>
      <c r="I11" s="7" t="n">
        <v>3</v>
      </c>
      <c r="J11" s="7" t="s">
        <v>197</v>
      </c>
    </row>
    <row r="12" customFormat="false" ht="29.85" hidden="false" customHeight="false" outlineLevel="0" collapsed="false">
      <c r="A12" s="14" t="s">
        <v>198</v>
      </c>
      <c r="B12" s="8" t="s">
        <v>196</v>
      </c>
      <c r="C12" s="8" t="s">
        <v>196</v>
      </c>
      <c r="D12" s="8" t="s">
        <v>196</v>
      </c>
      <c r="E12" s="8" t="s">
        <v>196</v>
      </c>
      <c r="F12" s="8" t="s">
        <v>196</v>
      </c>
      <c r="G12" s="8" t="s">
        <v>196</v>
      </c>
      <c r="H12" s="8" t="s">
        <v>196</v>
      </c>
      <c r="I12" s="7" t="n">
        <v>3</v>
      </c>
      <c r="J12" s="7" t="s">
        <v>199</v>
      </c>
    </row>
    <row r="14" customFormat="false" ht="15" hidden="false" customHeight="false" outlineLevel="0" collapsed="false">
      <c r="A14" s="3" t="s">
        <v>200</v>
      </c>
      <c r="B14" s="11" t="s">
        <v>157</v>
      </c>
      <c r="C14" s="11" t="s">
        <v>158</v>
      </c>
      <c r="D14" s="11" t="s">
        <v>159</v>
      </c>
      <c r="E14" s="11" t="s">
        <v>160</v>
      </c>
      <c r="F14" s="11" t="s">
        <v>161</v>
      </c>
      <c r="G14" s="11" t="s">
        <v>162</v>
      </c>
      <c r="H14" s="11" t="s">
        <v>163</v>
      </c>
    </row>
    <row r="15" customFormat="false" ht="15" hidden="false" customHeight="false" outlineLevel="0" collapsed="false">
      <c r="A15" s="6" t="s">
        <v>201</v>
      </c>
      <c r="B15" s="17" t="n">
        <v>0.05</v>
      </c>
      <c r="C15" s="17" t="n">
        <v>0.05</v>
      </c>
      <c r="D15" s="17" t="n">
        <v>0.08</v>
      </c>
      <c r="E15" s="17" t="n">
        <v>0.1</v>
      </c>
      <c r="F15" s="17" t="n">
        <v>0.1</v>
      </c>
      <c r="G15" s="17" t="n">
        <v>0.12</v>
      </c>
      <c r="H15" s="17" t="n">
        <v>0.12</v>
      </c>
    </row>
    <row r="16" customFormat="false" ht="29.85" hidden="false" customHeight="false" outlineLevel="0" collapsed="false">
      <c r="A16" s="6" t="s">
        <v>202</v>
      </c>
      <c r="B16" s="7"/>
      <c r="C16" s="7"/>
      <c r="D16" s="7"/>
      <c r="E16" s="17" t="n">
        <v>0.3</v>
      </c>
      <c r="F16" s="17" t="n">
        <v>0.35</v>
      </c>
      <c r="G16" s="17" t="n">
        <v>0.45</v>
      </c>
      <c r="H16" s="17" t="n">
        <v>0.5</v>
      </c>
    </row>
    <row r="17" customFormat="false" ht="15" hidden="false" customHeight="false" outlineLevel="0" collapsed="false">
      <c r="A17" s="9" t="s">
        <v>203</v>
      </c>
      <c r="B17" s="16" t="n">
        <v>0.18</v>
      </c>
      <c r="C17" s="16" t="n">
        <v>0.54</v>
      </c>
      <c r="D17" s="16" t="n">
        <v>1.42</v>
      </c>
      <c r="E17" s="16" t="n">
        <v>2.26</v>
      </c>
      <c r="F17" s="16" t="n">
        <v>2.96</v>
      </c>
      <c r="G17" s="16" t="n">
        <v>3.62</v>
      </c>
      <c r="H17" s="16" t="n">
        <v>4.17</v>
      </c>
    </row>
    <row r="18" customFormat="false" ht="29.85" hidden="false" customHeight="false" outlineLevel="0" collapsed="false">
      <c r="A18" s="9" t="s">
        <v>204</v>
      </c>
      <c r="B18" s="16" t="n">
        <v>0</v>
      </c>
      <c r="C18" s="16" t="n">
        <v>0</v>
      </c>
      <c r="D18" s="16" t="n">
        <v>0</v>
      </c>
      <c r="E18" s="16" t="n">
        <v>0.51</v>
      </c>
      <c r="F18" s="16" t="n">
        <v>0.84</v>
      </c>
      <c r="G18" s="16" t="n">
        <v>1.33</v>
      </c>
      <c r="H18" s="16" t="n">
        <v>1.75</v>
      </c>
    </row>
    <row r="20" customFormat="false" ht="15" hidden="false" customHeight="false" outlineLevel="0" collapsed="false">
      <c r="A20" s="2" t="s">
        <v>205</v>
      </c>
    </row>
    <row r="21" customFormat="false" ht="15" hidden="false" customHeight="false" outlineLevel="0" collapsed="false">
      <c r="A21" s="18" t="s">
        <v>206</v>
      </c>
    </row>
    <row r="22" customFormat="false" ht="15" hidden="false" customHeight="false" outlineLevel="0" collapsed="false">
      <c r="A22" s="2" t="s">
        <v>207</v>
      </c>
    </row>
    <row r="24" customFormat="false" ht="15" hidden="false" customHeight="false" outlineLevel="0" collapsed="false">
      <c r="A24" s="4" t="s">
        <v>208</v>
      </c>
      <c r="B24" s="5"/>
      <c r="C24" s="5"/>
      <c r="D24" s="5"/>
      <c r="E24" s="5"/>
      <c r="F24" s="5"/>
      <c r="G24" s="5"/>
      <c r="H24" s="5"/>
      <c r="I24" s="5"/>
      <c r="J24" s="5"/>
    </row>
    <row r="25" customFormat="false" ht="108.95" hidden="false" customHeight="false" outlineLevel="0" collapsed="false">
      <c r="A25" s="27" t="s">
        <v>165</v>
      </c>
      <c r="B25" s="31" t="s">
        <v>209</v>
      </c>
      <c r="C25" s="31" t="s">
        <v>210</v>
      </c>
      <c r="D25" s="32" t="s">
        <v>211</v>
      </c>
      <c r="E25" s="26"/>
      <c r="F25" s="26"/>
      <c r="G25" s="26"/>
      <c r="H25" s="26"/>
      <c r="I25" s="26"/>
      <c r="J25" s="26"/>
    </row>
    <row r="26" customFormat="false" ht="61.9" hidden="false" customHeight="false" outlineLevel="0" collapsed="false">
      <c r="A26" s="27" t="s">
        <v>166</v>
      </c>
      <c r="B26" s="31" t="s">
        <v>212</v>
      </c>
      <c r="C26" s="31" t="s">
        <v>213</v>
      </c>
      <c r="D26" s="32" t="s">
        <v>214</v>
      </c>
      <c r="E26" s="26"/>
      <c r="F26" s="26"/>
      <c r="G26" s="26"/>
      <c r="H26" s="26"/>
      <c r="I26" s="26"/>
      <c r="J26" s="26"/>
    </row>
    <row r="27" customFormat="false" ht="124.6" hidden="false" customHeight="false" outlineLevel="0" collapsed="false">
      <c r="A27" s="27" t="s">
        <v>167</v>
      </c>
      <c r="B27" s="31" t="s">
        <v>215</v>
      </c>
      <c r="C27" s="31" t="s">
        <v>216</v>
      </c>
      <c r="D27" s="32" t="s">
        <v>217</v>
      </c>
      <c r="E27" s="26"/>
      <c r="F27" s="26"/>
      <c r="G27" s="26"/>
      <c r="H27" s="26"/>
      <c r="I27" s="26"/>
      <c r="J27" s="26"/>
    </row>
    <row r="29" customFormat="false" ht="15" hidden="false" customHeight="false" outlineLevel="0" collapsed="false">
      <c r="A29" s="4" t="s">
        <v>218</v>
      </c>
      <c r="B29" s="5"/>
      <c r="C29" s="5"/>
      <c r="D29" s="5"/>
      <c r="E29" s="5"/>
      <c r="F29" s="5"/>
      <c r="G29" s="5"/>
      <c r="H29" s="5"/>
      <c r="I29" s="5"/>
      <c r="J29" s="5"/>
    </row>
    <row r="30" customFormat="false" ht="158.2" hidden="false" customHeight="false" outlineLevel="0" collapsed="false">
      <c r="A30" s="27" t="s">
        <v>219</v>
      </c>
      <c r="B30" s="33" t="s">
        <v>220</v>
      </c>
      <c r="C30" s="26"/>
      <c r="D30" s="26"/>
      <c r="E30" s="26"/>
      <c r="F30" s="26"/>
      <c r="G30" s="26"/>
      <c r="H30" s="26"/>
      <c r="I30" s="26"/>
      <c r="J30" s="26"/>
    </row>
    <row r="31" customFormat="false" ht="17.15" hidden="false" customHeight="false" outlineLevel="0" collapsed="false">
      <c r="A31" s="27" t="s">
        <v>221</v>
      </c>
      <c r="B31" s="33" t="s">
        <v>222</v>
      </c>
      <c r="C31" s="26"/>
      <c r="D31" s="26"/>
      <c r="E31" s="26"/>
      <c r="F31" s="26"/>
      <c r="G31" s="26"/>
      <c r="H31" s="26"/>
      <c r="I31" s="26"/>
      <c r="J31" s="26"/>
    </row>
    <row r="32" customFormat="false" ht="120.1" hidden="false" customHeight="false" outlineLevel="0" collapsed="false">
      <c r="A32" s="24" t="s">
        <v>223</v>
      </c>
      <c r="B32" s="33" t="s">
        <v>224</v>
      </c>
      <c r="C32" s="26"/>
      <c r="D32" s="26"/>
      <c r="E32" s="26"/>
      <c r="F32" s="26"/>
      <c r="G32" s="26"/>
      <c r="H32" s="26"/>
      <c r="I32" s="26"/>
      <c r="J32" s="26"/>
    </row>
    <row r="33" customFormat="false" ht="173.85" hidden="false" customHeight="false" outlineLevel="0" collapsed="false">
      <c r="A33" s="24" t="s">
        <v>225</v>
      </c>
      <c r="B33" s="32" t="s">
        <v>226</v>
      </c>
      <c r="C33" s="26"/>
      <c r="D33" s="26"/>
      <c r="E33" s="26"/>
      <c r="F33" s="26"/>
      <c r="G33" s="26"/>
      <c r="H33" s="26"/>
      <c r="I33" s="26"/>
      <c r="J33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58"/>
  </cols>
  <sheetData>
    <row r="1" customFormat="false" ht="21.6" hidden="false" customHeight="false" outlineLevel="0" collapsed="false">
      <c r="A1" s="10" t="s">
        <v>227</v>
      </c>
    </row>
    <row r="2" customFormat="false" ht="15" hidden="false" customHeight="false" outlineLevel="0" collapsed="false">
      <c r="A2" s="2" t="s">
        <v>228</v>
      </c>
    </row>
    <row r="4" customFormat="false" ht="15" hidden="false" customHeight="false" outlineLevel="0" collapsed="false">
      <c r="A4" s="3" t="s">
        <v>63</v>
      </c>
      <c r="B4" s="3" t="s">
        <v>2</v>
      </c>
      <c r="C4" s="3" t="s">
        <v>3</v>
      </c>
      <c r="D4" s="3" t="s">
        <v>4</v>
      </c>
    </row>
    <row r="5" customFormat="false" ht="15" hidden="false" customHeight="false" outlineLevel="0" collapsed="false">
      <c r="A5" s="4" t="s">
        <v>229</v>
      </c>
      <c r="B5" s="5"/>
      <c r="C5" s="5"/>
      <c r="D5" s="5"/>
    </row>
    <row r="6" customFormat="false" ht="15" hidden="false" customHeight="false" outlineLevel="0" collapsed="false">
      <c r="A6" s="14" t="s">
        <v>230</v>
      </c>
      <c r="B6" s="7" t="s">
        <v>231</v>
      </c>
      <c r="C6" s="7" t="s">
        <v>10</v>
      </c>
      <c r="D6" s="8" t="s">
        <v>232</v>
      </c>
    </row>
    <row r="7" customFormat="false" ht="15" hidden="false" customHeight="false" outlineLevel="0" collapsed="false">
      <c r="A7" s="4" t="s">
        <v>233</v>
      </c>
      <c r="B7" s="5"/>
      <c r="C7" s="5"/>
      <c r="D7" s="5"/>
    </row>
    <row r="8" customFormat="false" ht="15" hidden="false" customHeight="false" outlineLevel="0" collapsed="false">
      <c r="A8" s="14" t="s">
        <v>182</v>
      </c>
      <c r="B8" s="7" t="s">
        <v>234</v>
      </c>
      <c r="C8" s="7" t="s">
        <v>235</v>
      </c>
      <c r="D8" s="7"/>
    </row>
    <row r="9" customFormat="false" ht="15" hidden="false" customHeight="false" outlineLevel="0" collapsed="false">
      <c r="A9" s="14" t="s">
        <v>182</v>
      </c>
      <c r="B9" s="8" t="s">
        <v>186</v>
      </c>
      <c r="C9" s="7" t="s">
        <v>236</v>
      </c>
      <c r="D9" s="7"/>
    </row>
    <row r="10" customFormat="false" ht="15" hidden="false" customHeight="false" outlineLevel="0" collapsed="false">
      <c r="A10" s="14" t="s">
        <v>182</v>
      </c>
      <c r="B10" s="8" t="s">
        <v>237</v>
      </c>
      <c r="C10" s="7" t="s">
        <v>44</v>
      </c>
      <c r="D10" s="7"/>
    </row>
    <row r="11" customFormat="false" ht="15" hidden="false" customHeight="false" outlineLevel="0" collapsed="false">
      <c r="A11" s="14" t="s">
        <v>182</v>
      </c>
      <c r="B11" s="8" t="s">
        <v>238</v>
      </c>
      <c r="C11" s="7" t="s">
        <v>46</v>
      </c>
      <c r="D11" s="8" t="s">
        <v>239</v>
      </c>
    </row>
    <row r="12" customFormat="false" ht="15" hidden="false" customHeight="false" outlineLevel="0" collapsed="false">
      <c r="A12" s="4" t="s">
        <v>240</v>
      </c>
      <c r="B12" s="5"/>
      <c r="C12" s="5"/>
      <c r="D12" s="5"/>
    </row>
    <row r="13" customFormat="false" ht="15" hidden="false" customHeight="false" outlineLevel="0" collapsed="false">
      <c r="A13" s="14" t="s">
        <v>241</v>
      </c>
      <c r="B13" s="8" t="s">
        <v>242</v>
      </c>
      <c r="C13" s="7" t="s">
        <v>243</v>
      </c>
      <c r="D13" s="8" t="s">
        <v>244</v>
      </c>
    </row>
    <row r="14" customFormat="false" ht="15" hidden="false" customHeight="false" outlineLevel="0" collapsed="false">
      <c r="A14" s="4" t="s">
        <v>245</v>
      </c>
      <c r="B14" s="5"/>
      <c r="C14" s="5"/>
      <c r="D14" s="5"/>
    </row>
    <row r="15" customFormat="false" ht="15" hidden="false" customHeight="false" outlineLevel="0" collapsed="false">
      <c r="A15" s="14" t="s">
        <v>246</v>
      </c>
      <c r="B15" s="8" t="s">
        <v>247</v>
      </c>
      <c r="C15" s="7" t="s">
        <v>248</v>
      </c>
      <c r="D15" s="7"/>
    </row>
    <row r="16" customFormat="false" ht="15" hidden="false" customHeight="false" outlineLevel="0" collapsed="false">
      <c r="A16" s="14" t="s">
        <v>246</v>
      </c>
      <c r="B16" s="8" t="s">
        <v>249</v>
      </c>
      <c r="C16" s="7" t="s">
        <v>250</v>
      </c>
      <c r="D16" s="7"/>
    </row>
    <row r="17" customFormat="false" ht="15" hidden="false" customHeight="false" outlineLevel="0" collapsed="false">
      <c r="A17" s="14" t="s">
        <v>246</v>
      </c>
      <c r="B17" s="8" t="s">
        <v>251</v>
      </c>
      <c r="C17" s="7" t="s">
        <v>252</v>
      </c>
      <c r="D17" s="8" t="s">
        <v>253</v>
      </c>
    </row>
    <row r="18" customFormat="false" ht="15" hidden="false" customHeight="false" outlineLevel="0" collapsed="false">
      <c r="A18" s="14" t="s">
        <v>246</v>
      </c>
      <c r="B18" s="7" t="s">
        <v>254</v>
      </c>
      <c r="C18" s="8" t="s">
        <v>255</v>
      </c>
      <c r="D18" s="8" t="s">
        <v>256</v>
      </c>
    </row>
    <row r="19" customFormat="false" ht="15" hidden="false" customHeight="false" outlineLevel="0" collapsed="false">
      <c r="A19" s="4" t="s">
        <v>257</v>
      </c>
      <c r="B19" s="5"/>
      <c r="C19" s="5"/>
      <c r="D19" s="5"/>
    </row>
    <row r="20" customFormat="false" ht="15" hidden="false" customHeight="false" outlineLevel="0" collapsed="false">
      <c r="A20" s="14" t="s">
        <v>258</v>
      </c>
      <c r="B20" s="8" t="s">
        <v>259</v>
      </c>
      <c r="C20" s="7" t="s">
        <v>260</v>
      </c>
      <c r="D20" s="7"/>
    </row>
    <row r="21" customFormat="false" ht="15" hidden="false" customHeight="false" outlineLevel="0" collapsed="false">
      <c r="A21" s="14" t="s">
        <v>258</v>
      </c>
      <c r="B21" s="8" t="s">
        <v>261</v>
      </c>
      <c r="C21" s="7" t="s">
        <v>262</v>
      </c>
      <c r="D21" s="8" t="s">
        <v>263</v>
      </c>
    </row>
    <row r="22" customFormat="false" ht="15" hidden="false" customHeight="false" outlineLevel="0" collapsed="false">
      <c r="A22" s="14" t="s">
        <v>258</v>
      </c>
      <c r="B22" s="7" t="s">
        <v>264</v>
      </c>
      <c r="C22" s="8" t="s">
        <v>265</v>
      </c>
      <c r="D22" s="7"/>
    </row>
    <row r="23" customFormat="false" ht="15" hidden="false" customHeight="false" outlineLevel="0" collapsed="false">
      <c r="A23" s="14" t="s">
        <v>258</v>
      </c>
      <c r="B23" s="8" t="s">
        <v>266</v>
      </c>
      <c r="C23" s="7" t="s">
        <v>267</v>
      </c>
      <c r="D23" s="8" t="s">
        <v>268</v>
      </c>
    </row>
    <row r="24" customFormat="false" ht="15" hidden="false" customHeight="false" outlineLevel="0" collapsed="false">
      <c r="A24" s="4" t="s">
        <v>269</v>
      </c>
      <c r="B24" s="5"/>
      <c r="C24" s="5"/>
      <c r="D24" s="5"/>
    </row>
    <row r="25" customFormat="false" ht="15" hidden="false" customHeight="false" outlineLevel="0" collapsed="false">
      <c r="A25" s="14" t="s">
        <v>270</v>
      </c>
      <c r="B25" s="8" t="s">
        <v>271</v>
      </c>
      <c r="C25" s="7" t="s">
        <v>248</v>
      </c>
      <c r="D25" s="8" t="s">
        <v>272</v>
      </c>
    </row>
    <row r="26" customFormat="false" ht="15" hidden="false" customHeight="false" outlineLevel="0" collapsed="false">
      <c r="A26" s="14" t="s">
        <v>270</v>
      </c>
      <c r="B26" s="8" t="s">
        <v>273</v>
      </c>
      <c r="C26" s="7" t="s">
        <v>25</v>
      </c>
      <c r="D26" s="8" t="s">
        <v>272</v>
      </c>
    </row>
    <row r="27" customFormat="false" ht="15" hidden="false" customHeight="false" outlineLevel="0" collapsed="false">
      <c r="A27" s="4" t="s">
        <v>274</v>
      </c>
      <c r="B27" s="5"/>
      <c r="C27" s="5"/>
      <c r="D27" s="5"/>
    </row>
    <row r="28" customFormat="false" ht="15" hidden="false" customHeight="false" outlineLevel="0" collapsed="false">
      <c r="A28" s="14" t="s">
        <v>275</v>
      </c>
      <c r="B28" s="8" t="s">
        <v>276</v>
      </c>
      <c r="C28" s="7" t="s">
        <v>277</v>
      </c>
      <c r="D28" s="8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6" min="6" style="0" width="54"/>
  </cols>
  <sheetData>
    <row r="1" customFormat="false" ht="17.35" hidden="false" customHeight="false" outlineLevel="0" collapsed="false">
      <c r="A1" s="10" t="s">
        <v>279</v>
      </c>
    </row>
    <row r="2" customFormat="false" ht="15" hidden="false" customHeight="false" outlineLevel="0" collapsed="false">
      <c r="A2" s="2" t="s">
        <v>280</v>
      </c>
    </row>
    <row r="4" customFormat="false" ht="15" hidden="false" customHeight="false" outlineLevel="0" collapsed="false">
      <c r="A4" s="3" t="s">
        <v>63</v>
      </c>
      <c r="B4" s="3" t="s">
        <v>281</v>
      </c>
      <c r="C4" s="3" t="s">
        <v>282</v>
      </c>
      <c r="D4" s="3" t="s">
        <v>283</v>
      </c>
      <c r="E4" s="3" t="s">
        <v>284</v>
      </c>
      <c r="F4" s="3" t="s">
        <v>4</v>
      </c>
    </row>
    <row r="5" customFormat="false" ht="15" hidden="false" customHeight="false" outlineLevel="0" collapsed="false">
      <c r="A5" s="4" t="s">
        <v>285</v>
      </c>
      <c r="B5" s="5"/>
      <c r="C5" s="5"/>
      <c r="D5" s="5"/>
      <c r="E5" s="5"/>
      <c r="F5" s="5"/>
    </row>
    <row r="6" customFormat="false" ht="15" hidden="false" customHeight="false" outlineLevel="0" collapsed="false">
      <c r="A6" s="14" t="s">
        <v>286</v>
      </c>
      <c r="B6" s="8" t="s">
        <v>287</v>
      </c>
      <c r="C6" s="8" t="s">
        <v>288</v>
      </c>
      <c r="D6" s="7" t="s">
        <v>289</v>
      </c>
      <c r="E6" s="7" t="s">
        <v>290</v>
      </c>
      <c r="F6" s="8" t="s">
        <v>291</v>
      </c>
    </row>
    <row r="7" customFormat="false" ht="15" hidden="false" customHeight="false" outlineLevel="0" collapsed="false">
      <c r="A7" s="14" t="s">
        <v>286</v>
      </c>
      <c r="B7" s="8" t="s">
        <v>292</v>
      </c>
      <c r="C7" s="8" t="s">
        <v>293</v>
      </c>
      <c r="D7" s="7" t="s">
        <v>294</v>
      </c>
      <c r="E7" s="7" t="s">
        <v>35</v>
      </c>
      <c r="F7" s="8" t="s">
        <v>295</v>
      </c>
    </row>
    <row r="8" customFormat="false" ht="15" hidden="false" customHeight="false" outlineLevel="0" collapsed="false">
      <c r="A8" s="14" t="s">
        <v>286</v>
      </c>
      <c r="B8" s="8" t="s">
        <v>296</v>
      </c>
      <c r="C8" s="8" t="s">
        <v>297</v>
      </c>
      <c r="D8" s="7" t="s">
        <v>298</v>
      </c>
      <c r="E8" s="7" t="s">
        <v>299</v>
      </c>
      <c r="F8" s="8" t="s">
        <v>300</v>
      </c>
    </row>
    <row r="9" customFormat="false" ht="15" hidden="false" customHeight="false" outlineLevel="0" collapsed="false">
      <c r="A9" s="14" t="s">
        <v>286</v>
      </c>
      <c r="B9" s="8" t="s">
        <v>301</v>
      </c>
      <c r="C9" s="8" t="s">
        <v>302</v>
      </c>
      <c r="D9" s="7" t="s">
        <v>303</v>
      </c>
      <c r="E9" s="7" t="s">
        <v>25</v>
      </c>
      <c r="F9" s="8" t="s">
        <v>304</v>
      </c>
    </row>
    <row r="10" customFormat="false" ht="15" hidden="false" customHeight="false" outlineLevel="0" collapsed="false">
      <c r="A10" s="14" t="s">
        <v>286</v>
      </c>
      <c r="B10" s="8" t="s">
        <v>305</v>
      </c>
      <c r="C10" s="8" t="s">
        <v>306</v>
      </c>
      <c r="D10" s="7" t="s">
        <v>303</v>
      </c>
      <c r="E10" s="7" t="s">
        <v>307</v>
      </c>
      <c r="F10" s="8" t="s">
        <v>308</v>
      </c>
    </row>
    <row r="12" customFormat="false" ht="15" hidden="false" customHeight="false" outlineLevel="0" collapsed="false">
      <c r="A12" s="4" t="s">
        <v>309</v>
      </c>
      <c r="B12" s="5"/>
      <c r="C12" s="5"/>
      <c r="D12" s="5"/>
      <c r="E12" s="5"/>
      <c r="F12" s="5"/>
    </row>
    <row r="13" customFormat="false" ht="15" hidden="false" customHeight="false" outlineLevel="0" collapsed="false">
      <c r="A13" s="14" t="s">
        <v>310</v>
      </c>
      <c r="B13" s="8" t="s">
        <v>311</v>
      </c>
      <c r="C13" s="8" t="s">
        <v>288</v>
      </c>
      <c r="D13" s="7" t="s">
        <v>289</v>
      </c>
      <c r="E13" s="8" t="s">
        <v>312</v>
      </c>
      <c r="F13" s="8" t="s">
        <v>313</v>
      </c>
    </row>
    <row r="14" customFormat="false" ht="15" hidden="false" customHeight="false" outlineLevel="0" collapsed="false">
      <c r="A14" s="14" t="s">
        <v>310</v>
      </c>
      <c r="B14" s="8" t="s">
        <v>314</v>
      </c>
      <c r="C14" s="8" t="s">
        <v>297</v>
      </c>
      <c r="D14" s="7" t="s">
        <v>315</v>
      </c>
      <c r="E14" s="8" t="s">
        <v>316</v>
      </c>
      <c r="F14" s="8" t="s">
        <v>317</v>
      </c>
    </row>
    <row r="15" customFormat="false" ht="15" hidden="false" customHeight="false" outlineLevel="0" collapsed="false">
      <c r="A15" s="14" t="s">
        <v>310</v>
      </c>
      <c r="B15" s="8" t="s">
        <v>318</v>
      </c>
      <c r="C15" s="8" t="s">
        <v>293</v>
      </c>
      <c r="D15" s="7" t="s">
        <v>298</v>
      </c>
      <c r="E15" s="8" t="s">
        <v>319</v>
      </c>
      <c r="F15" s="8" t="s">
        <v>320</v>
      </c>
    </row>
    <row r="16" customFormat="false" ht="15" hidden="false" customHeight="false" outlineLevel="0" collapsed="false">
      <c r="A16" s="14" t="s">
        <v>310</v>
      </c>
      <c r="B16" s="8" t="s">
        <v>321</v>
      </c>
      <c r="C16" s="8" t="s">
        <v>302</v>
      </c>
      <c r="D16" s="7" t="s">
        <v>298</v>
      </c>
      <c r="E16" s="8" t="s">
        <v>322</v>
      </c>
      <c r="F16" s="8" t="s">
        <v>323</v>
      </c>
    </row>
    <row r="17" customFormat="false" ht="15" hidden="false" customHeight="false" outlineLevel="0" collapsed="false">
      <c r="A17" s="14" t="s">
        <v>310</v>
      </c>
      <c r="B17" s="8" t="s">
        <v>324</v>
      </c>
      <c r="C17" s="8" t="s">
        <v>306</v>
      </c>
      <c r="D17" s="7" t="s">
        <v>325</v>
      </c>
      <c r="E17" s="7" t="s">
        <v>35</v>
      </c>
      <c r="F17" s="8" t="s">
        <v>326</v>
      </c>
    </row>
    <row r="20" customFormat="false" ht="15" hidden="false" customHeight="false" outlineLevel="0" collapsed="false">
      <c r="A20" s="3" t="s">
        <v>327</v>
      </c>
      <c r="B20" s="3" t="s">
        <v>328</v>
      </c>
      <c r="C20" s="3" t="s">
        <v>329</v>
      </c>
      <c r="D20" s="3" t="s">
        <v>330</v>
      </c>
      <c r="E20" s="3"/>
      <c r="F20" s="3" t="s">
        <v>4</v>
      </c>
    </row>
    <row r="21" customFormat="false" ht="15" hidden="false" customHeight="false" outlineLevel="0" collapsed="false">
      <c r="A21" s="14" t="s">
        <v>331</v>
      </c>
      <c r="B21" s="8" t="s">
        <v>332</v>
      </c>
      <c r="C21" s="7" t="s">
        <v>333</v>
      </c>
      <c r="D21" s="7" t="s">
        <v>334</v>
      </c>
      <c r="E21" s="7"/>
      <c r="F21" s="8" t="s">
        <v>335</v>
      </c>
    </row>
    <row r="22" customFormat="false" ht="15" hidden="false" customHeight="false" outlineLevel="0" collapsed="false">
      <c r="A22" s="14" t="s">
        <v>336</v>
      </c>
      <c r="B22" s="7" t="s">
        <v>337</v>
      </c>
      <c r="C22" s="7" t="s">
        <v>338</v>
      </c>
      <c r="D22" s="8" t="s">
        <v>339</v>
      </c>
      <c r="E22" s="7"/>
      <c r="F22" s="8" t="s">
        <v>340</v>
      </c>
    </row>
    <row r="23" customFormat="false" ht="15" hidden="false" customHeight="false" outlineLevel="0" collapsed="false">
      <c r="A23" s="34" t="s">
        <v>341</v>
      </c>
      <c r="B23" s="35" t="s">
        <v>342</v>
      </c>
      <c r="C23" s="29" t="s">
        <v>343</v>
      </c>
      <c r="D23" s="29" t="s">
        <v>344</v>
      </c>
      <c r="E23" s="29"/>
      <c r="F23" s="35" t="s">
        <v>345</v>
      </c>
    </row>
    <row r="24" customFormat="false" ht="15" hidden="false" customHeight="false" outlineLevel="0" collapsed="false">
      <c r="A24" s="14" t="s">
        <v>346</v>
      </c>
      <c r="B24" s="8" t="s">
        <v>347</v>
      </c>
      <c r="C24" s="7" t="s">
        <v>348</v>
      </c>
      <c r="D24" s="7" t="s">
        <v>349</v>
      </c>
      <c r="E24" s="7"/>
      <c r="F24" s="7" t="s">
        <v>350</v>
      </c>
    </row>
    <row r="25" customFormat="false" ht="15" hidden="false" customHeight="false" outlineLevel="0" collapsed="false">
      <c r="A25" s="14" t="s">
        <v>351</v>
      </c>
      <c r="B25" s="8" t="s">
        <v>352</v>
      </c>
      <c r="C25" s="7" t="s">
        <v>353</v>
      </c>
      <c r="D25" s="7" t="s">
        <v>35</v>
      </c>
      <c r="E25" s="7"/>
      <c r="F25" s="8" t="s">
        <v>354</v>
      </c>
    </row>
    <row r="26" customFormat="false" ht="15" hidden="false" customHeight="false" outlineLevel="0" collapsed="false">
      <c r="A26" s="14" t="s">
        <v>355</v>
      </c>
      <c r="B26" s="8" t="s">
        <v>356</v>
      </c>
      <c r="C26" s="7" t="s">
        <v>143</v>
      </c>
      <c r="D26" s="7" t="s">
        <v>35</v>
      </c>
      <c r="E26" s="7"/>
      <c r="F26" s="7" t="s">
        <v>357</v>
      </c>
    </row>
    <row r="28" customFormat="false" ht="15" hidden="false" customHeight="false" outlineLevel="0" collapsed="false">
      <c r="A28" s="2" t="s">
        <v>358</v>
      </c>
    </row>
    <row r="29" customFormat="false" ht="15" hidden="false" customHeight="false" outlineLevel="0" collapsed="false">
      <c r="A29" s="2" t="s">
        <v>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0" t="s">
        <v>360</v>
      </c>
    </row>
    <row r="2" customFormat="false" ht="15" hidden="false" customHeight="false" outlineLevel="0" collapsed="false">
      <c r="A2" s="2" t="s">
        <v>361</v>
      </c>
    </row>
    <row r="4" customFormat="false" ht="15" hidden="false" customHeight="false" outlineLevel="0" collapsed="false">
      <c r="A4" s="3" t="s">
        <v>362</v>
      </c>
      <c r="B4" s="3" t="s">
        <v>363</v>
      </c>
      <c r="C4" s="3" t="s">
        <v>342</v>
      </c>
      <c r="D4" s="3" t="s">
        <v>364</v>
      </c>
      <c r="E4" s="3" t="s">
        <v>365</v>
      </c>
      <c r="F4" s="3" t="s">
        <v>366</v>
      </c>
    </row>
    <row r="5" customFormat="false" ht="15" hidden="false" customHeight="false" outlineLevel="0" collapsed="false">
      <c r="A5" s="6" t="s">
        <v>367</v>
      </c>
      <c r="B5" s="17" t="n">
        <v>-0.1</v>
      </c>
      <c r="C5" s="7"/>
      <c r="D5" s="17" t="n">
        <v>-0.15</v>
      </c>
      <c r="E5" s="7"/>
      <c r="F5" s="7"/>
    </row>
    <row r="6" customFormat="false" ht="15" hidden="false" customHeight="false" outlineLevel="0" collapsed="false">
      <c r="A6" s="6" t="s">
        <v>368</v>
      </c>
      <c r="B6" s="17" t="n">
        <v>-0.15</v>
      </c>
      <c r="C6" s="17" t="n">
        <v>-0.1</v>
      </c>
      <c r="D6" s="17" t="n">
        <v>-0.25</v>
      </c>
      <c r="E6" s="17" t="n">
        <v>-0.2</v>
      </c>
      <c r="F6" s="7"/>
    </row>
    <row r="7" customFormat="false" ht="15" hidden="false" customHeight="false" outlineLevel="0" collapsed="false">
      <c r="A7" s="6" t="s">
        <v>369</v>
      </c>
      <c r="B7" s="17" t="n">
        <v>-0.2</v>
      </c>
      <c r="C7" s="17" t="n">
        <v>-0.2</v>
      </c>
      <c r="D7" s="17" t="n">
        <v>-0.35</v>
      </c>
      <c r="E7" s="17" t="n">
        <v>-0.3</v>
      </c>
      <c r="F7" s="8" t="s">
        <v>370</v>
      </c>
    </row>
    <row r="9" customFormat="false" ht="15" hidden="false" customHeight="false" outlineLevel="0" collapsed="false">
      <c r="A9" s="2" t="s">
        <v>371</v>
      </c>
    </row>
    <row r="10" customFormat="false" ht="15" hidden="false" customHeight="false" outlineLevel="0" collapsed="false">
      <c r="A10" s="2" t="s">
        <v>372</v>
      </c>
    </row>
    <row r="11" customFormat="false" ht="15" hidden="false" customHeight="false" outlineLevel="0" collapsed="false">
      <c r="A11" s="2" t="s">
        <v>373</v>
      </c>
    </row>
    <row r="13" customFormat="false" ht="15" hidden="false" customHeight="false" outlineLevel="0" collapsed="false">
      <c r="A13" s="4" t="s">
        <v>374</v>
      </c>
      <c r="B13" s="5"/>
      <c r="C13" s="5"/>
      <c r="D13" s="5"/>
      <c r="E13" s="5"/>
      <c r="F13" s="5"/>
    </row>
    <row r="14" customFormat="false" ht="17.15" hidden="false" customHeight="false" outlineLevel="0" collapsed="false">
      <c r="A14" s="24" t="s">
        <v>375</v>
      </c>
      <c r="B14" s="33" t="s">
        <v>376</v>
      </c>
      <c r="C14" s="26"/>
      <c r="D14" s="26"/>
      <c r="E14" s="26"/>
      <c r="F14" s="26"/>
    </row>
    <row r="15" customFormat="false" ht="64.15" hidden="false" customHeight="false" outlineLevel="0" collapsed="false">
      <c r="A15" s="24" t="s">
        <v>377</v>
      </c>
      <c r="B15" s="33" t="s">
        <v>378</v>
      </c>
      <c r="C15" s="26"/>
      <c r="D15" s="26"/>
      <c r="E15" s="26"/>
      <c r="F15" s="26"/>
    </row>
    <row r="16" customFormat="false" ht="48.5" hidden="false" customHeight="false" outlineLevel="0" collapsed="false">
      <c r="A16" s="24" t="s">
        <v>379</v>
      </c>
      <c r="B16" s="32" t="s">
        <v>380</v>
      </c>
      <c r="C16" s="26"/>
      <c r="D16" s="26"/>
      <c r="E16" s="26"/>
      <c r="F16" s="26"/>
    </row>
    <row r="18" customFormat="false" ht="15" hidden="false" customHeight="false" outlineLevel="0" collapsed="false">
      <c r="A18" s="4" t="s">
        <v>381</v>
      </c>
      <c r="B18" s="5"/>
      <c r="C18" s="5"/>
      <c r="D18" s="5"/>
      <c r="E18" s="5"/>
      <c r="F18" s="5"/>
    </row>
    <row r="19" customFormat="false" ht="17.15" hidden="false" customHeight="false" outlineLevel="0" collapsed="false">
      <c r="A19" s="27" t="s">
        <v>382</v>
      </c>
      <c r="B19" s="32" t="s">
        <v>383</v>
      </c>
      <c r="C19" s="26"/>
      <c r="D19" s="26"/>
      <c r="E19" s="26"/>
      <c r="F19" s="26"/>
    </row>
    <row r="20" customFormat="false" ht="95.5" hidden="false" customHeight="false" outlineLevel="0" collapsed="false">
      <c r="A20" s="27" t="s">
        <v>384</v>
      </c>
      <c r="B20" s="32" t="s">
        <v>385</v>
      </c>
      <c r="C20" s="26"/>
      <c r="D20" s="26"/>
      <c r="E20" s="26"/>
      <c r="F20" s="26"/>
    </row>
    <row r="21" customFormat="false" ht="64.15" hidden="false" customHeight="false" outlineLevel="0" collapsed="false">
      <c r="A21" s="27" t="s">
        <v>386</v>
      </c>
      <c r="B21" s="32" t="s">
        <v>387</v>
      </c>
      <c r="C21" s="26"/>
      <c r="D21" s="26"/>
      <c r="E21" s="26"/>
      <c r="F21" s="26"/>
    </row>
    <row r="22" customFormat="false" ht="64.15" hidden="false" customHeight="false" outlineLevel="0" collapsed="false">
      <c r="A22" s="27" t="s">
        <v>388</v>
      </c>
      <c r="B22" s="32" t="s">
        <v>389</v>
      </c>
      <c r="C22" s="26"/>
      <c r="D22" s="26"/>
      <c r="E22" s="26"/>
      <c r="F22" s="26"/>
    </row>
    <row r="23" customFormat="false" ht="48.5" hidden="false" customHeight="false" outlineLevel="0" collapsed="false">
      <c r="A23" s="27" t="s">
        <v>390</v>
      </c>
      <c r="B23" s="32" t="s">
        <v>391</v>
      </c>
      <c r="C23" s="26"/>
      <c r="D23" s="26"/>
      <c r="E23" s="26"/>
      <c r="F23" s="26"/>
    </row>
    <row r="24" customFormat="false" ht="17.15" hidden="false" customHeight="false" outlineLevel="0" collapsed="false">
      <c r="A24" s="27" t="s">
        <v>392</v>
      </c>
      <c r="B24" s="32" t="s">
        <v>393</v>
      </c>
      <c r="C24" s="26"/>
      <c r="D24" s="26"/>
      <c r="E24" s="26"/>
      <c r="F24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2026-09-12T14:02:10Z</dcterms:created>
  <dc:creator>openpyxl</dc:creator>
  <dc:description/>
  <dc:language>en-US</dc:language>
  <cp:lastModifiedBy/>
  <dcterms:modified xsi:type="dcterms:W3CDTF">2026-09-12T14:04:17Z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